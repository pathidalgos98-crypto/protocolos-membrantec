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8cde7d56e983858/Desktop/Calidad/WSP Protocolos/Septiembre/25-09-2025/"/>
    </mc:Choice>
  </mc:AlternateContent>
  <xr:revisionPtr revIDLastSave="14" documentId="13_ncr:1_{FF751284-1CFB-4AC0-8359-C02229F8372A}" xr6:coauthVersionLast="47" xr6:coauthVersionMax="47" xr10:uidLastSave="{5E39A3AB-8E62-49E3-93DB-D596F24E9C12}"/>
  <bookViews>
    <workbookView showHorizontalScroll="0" showVerticalScroll="0" showSheetTabs="0" xWindow="-108" yWindow="-108" windowWidth="23256" windowHeight="12456" tabRatio="761" xr2:uid="{9D0A29CE-9C3E-4B76-9143-A76454BE2ED4}"/>
  </bookViews>
  <sheets>
    <sheet name="1" sheetId="6" r:id="rId1"/>
    <sheet name="Hoja1" sheetId="7" r:id="rId2"/>
  </sheets>
  <definedNames>
    <definedName name="_xlnm.Print_Area" localSheetId="0">'1'!$A$2:$AL$56</definedName>
  </definedNames>
  <calcPr calcId="191028"/>
  <customWorkbookViews>
    <customWorkbookView name="faena1 - Vista personalizada" guid="{4DF67D1D-0ACD-4E6E-A7E6-057B0528CCBB}" mergeInterval="0" personalView="1" maximized="1" windowWidth="1020" windowHeight="548" tabRatio="601" activeSheetId="1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7" i="6" l="1"/>
  <c r="Q37" i="6"/>
  <c r="U37" i="6"/>
  <c r="W23" i="6"/>
  <c r="W24" i="6"/>
  <c r="W25" i="6"/>
  <c r="W22" i="6"/>
</calcChain>
</file>

<file path=xl/sharedStrings.xml><?xml version="1.0" encoding="utf-8"?>
<sst xmlns="http://schemas.openxmlformats.org/spreadsheetml/2006/main" count="137" uniqueCount="88">
  <si>
    <t xml:space="preserve">                REGISTRO DE INSTALACIÓN DE GEOMEMBRANAS</t>
  </si>
  <si>
    <t>Contrato : 4600025141</t>
  </si>
  <si>
    <t>Proyecto: “Provisión e Instalación de Membranas y Sistema de Detección de Fugas en Reservorio y Piscinas de Impulsión”</t>
  </si>
  <si>
    <t>Rev.: 02</t>
  </si>
  <si>
    <t>Area de Trabajo</t>
  </si>
  <si>
    <t>Plano Asociado</t>
  </si>
  <si>
    <t>Nº de Protocolo Membrantec</t>
  </si>
  <si>
    <t>Fecha</t>
  </si>
  <si>
    <t>F-MEMB-CC-03</t>
  </si>
  <si>
    <t>TAG PISCINA</t>
  </si>
  <si>
    <t xml:space="preserve">AREA   </t>
  </si>
  <si>
    <t>SISTEMA</t>
  </si>
  <si>
    <t>SUSBSISTEMA</t>
  </si>
  <si>
    <t>N° PIE ASOCIADO</t>
  </si>
  <si>
    <t>CÓDIGO ACONEX</t>
  </si>
  <si>
    <t>6330-PSC-5001</t>
  </si>
  <si>
    <t>CÓDIGO</t>
  </si>
  <si>
    <t>DESCRIPCIÓN</t>
  </si>
  <si>
    <t>RESERVORIO</t>
  </si>
  <si>
    <t>6330-R01</t>
  </si>
  <si>
    <t>SISTEMA DE ALMACENAMIENTO DE AGUA</t>
  </si>
  <si>
    <t>6330-R01-002</t>
  </si>
  <si>
    <t>RESERVORIO DE AGUA INDUSTRIAL 6330-PSC-5001</t>
  </si>
  <si>
    <t xml:space="preserve">4222-SMBR-O-QP-0000-002					</t>
  </si>
  <si>
    <t>1.- Antecedentes de Terreno :</t>
  </si>
  <si>
    <r>
      <t>1.1</t>
    </r>
    <r>
      <rPr>
        <sz val="11"/>
        <rFont val="Arial"/>
        <family val="2"/>
      </rPr>
      <t>.- Lugar de Instalación:</t>
    </r>
  </si>
  <si>
    <t>Reservorio sector A</t>
  </si>
  <si>
    <r>
      <t>1.2.</t>
    </r>
    <r>
      <rPr>
        <sz val="11"/>
        <rFont val="Arial"/>
        <family val="2"/>
      </rPr>
      <t>- Tipo de Material a Instalar:</t>
    </r>
  </si>
  <si>
    <t>X</t>
  </si>
  <si>
    <t>HDPE</t>
  </si>
  <si>
    <t>-</t>
  </si>
  <si>
    <t>LLDPE</t>
  </si>
  <si>
    <t>Liso</t>
  </si>
  <si>
    <t>Texturado Simple</t>
  </si>
  <si>
    <t>Texturado Doble</t>
  </si>
  <si>
    <t>EPDM</t>
  </si>
  <si>
    <t>STUDLINER</t>
  </si>
  <si>
    <t>GEOTEXTIL</t>
  </si>
  <si>
    <t>TPO</t>
  </si>
  <si>
    <t>GEONET</t>
  </si>
  <si>
    <t>PVC</t>
  </si>
  <si>
    <t>Otro:</t>
  </si>
  <si>
    <t>2.- Registro de Terreno:</t>
  </si>
  <si>
    <t>Hora Inicio</t>
  </si>
  <si>
    <t>Condición Climática</t>
  </si>
  <si>
    <t>Nª de Panel</t>
  </si>
  <si>
    <t>Nª de Rollo</t>
  </si>
  <si>
    <t xml:space="preserve">m2 Rollo </t>
  </si>
  <si>
    <t>mm</t>
  </si>
  <si>
    <t>Dimensiones material Instalado Sin Traslape (ST)</t>
  </si>
  <si>
    <t>Dimensiones material Instalado Con Traslape (CT)</t>
  </si>
  <si>
    <t>Obs de Terreno</t>
  </si>
  <si>
    <t>Nublado</t>
  </si>
  <si>
    <t>Despejado c/viento</t>
  </si>
  <si>
    <t>Despejado s/viento</t>
  </si>
  <si>
    <t>grs/m2</t>
  </si>
  <si>
    <t>Largo</t>
  </si>
  <si>
    <t>Ancho</t>
  </si>
  <si>
    <t>M2</t>
  </si>
  <si>
    <t>x</t>
  </si>
  <si>
    <t>1261.8</t>
  </si>
  <si>
    <t>2.00</t>
  </si>
  <si>
    <t>80.5</t>
  </si>
  <si>
    <t>7.01</t>
  </si>
  <si>
    <t>564.3</t>
  </si>
  <si>
    <t>6.86</t>
  </si>
  <si>
    <t>Total M2 Rollo</t>
  </si>
  <si>
    <t>Total ST</t>
  </si>
  <si>
    <t>Total CT</t>
  </si>
  <si>
    <t xml:space="preserve"> Croquis</t>
  </si>
  <si>
    <t>OBSERVACIONES :</t>
  </si>
  <si>
    <t xml:space="preserve"> </t>
  </si>
  <si>
    <t>MEMBRANTEC S.A.</t>
  </si>
  <si>
    <t>TOMA DE CONOCIMIENTO</t>
  </si>
  <si>
    <t>CONSTRUCCIÓN</t>
  </si>
  <si>
    <t>CALIDAD</t>
  </si>
  <si>
    <t>Techint</t>
  </si>
  <si>
    <t xml:space="preserve">Nombre:  </t>
  </si>
  <si>
    <t xml:space="preserve">Nombre:     </t>
  </si>
  <si>
    <t>Nombre:</t>
  </si>
  <si>
    <t>Fecha:</t>
  </si>
  <si>
    <t>Firma:</t>
  </si>
  <si>
    <t>OF:613</t>
  </si>
  <si>
    <t>HDPE  2.0 mm Superior.</t>
  </si>
  <si>
    <t>GM-RI-HDPE-SUP-RAI-001</t>
  </si>
  <si>
    <t>4600025141-06330-PRTCS-03256</t>
  </si>
  <si>
    <t>*Ver Nota N°2 del Plano Asociado 4222-SMBR-O-VD-0002-202.</t>
  </si>
  <si>
    <t>4222-SMBR-O-VD-0002-202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</si>
</sst>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-[$€]* #,##0.00_-;\-[$€]* #,##0.00_-;_-[$€]* &quot;-&quot;??_-;_-@_-"/>
  </numFmts>
  <fonts count="23" x14ac:knownFonts="1">
    <font>
      <sz val="10"/>
      <name val="Arial"/>
    </font>
    <font>
      <sz val="10"/>
      <name val="Arial"/>
      <family val="2"/>
    </font>
    <font>
      <sz val="7"/>
      <name val="Arial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sz val="16"/>
      <name val="Arial"/>
      <family val="2"/>
    </font>
    <font>
      <sz val="11"/>
      <name val="Arial"/>
      <family val="2"/>
    </font>
    <font>
      <b/>
      <sz val="9.5"/>
      <name val="Arial"/>
      <family val="2"/>
    </font>
    <font>
      <sz val="9.5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1"/>
      <color theme="1"/>
      <name val="Calibri"/>
      <family val="2"/>
    </font>
    <font>
      <b/>
      <sz val="12"/>
      <color theme="0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</cellStyleXfs>
  <cellXfs count="190">
    <xf numFmtId="0" fontId="0" fillId="0" borderId="0" xfId="0"/>
    <xf numFmtId="0" fontId="0" fillId="2" borderId="0" xfId="0" applyFill="1"/>
    <xf numFmtId="0" fontId="9" fillId="2" borderId="0" xfId="0" applyFont="1" applyFill="1" applyAlignment="1">
      <alignment horizontal="center"/>
    </xf>
    <xf numFmtId="0" fontId="9" fillId="2" borderId="0" xfId="0" applyFont="1" applyFill="1"/>
    <xf numFmtId="0" fontId="6" fillId="2" borderId="0" xfId="0" applyFont="1" applyFill="1"/>
    <xf numFmtId="0" fontId="6" fillId="2" borderId="0" xfId="0" applyFont="1" applyFill="1" applyAlignment="1">
      <alignment horizontal="left" vertical="center" wrapText="1"/>
    </xf>
    <xf numFmtId="0" fontId="9" fillId="2" borderId="1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0" xfId="0" applyFont="1" applyFill="1"/>
    <xf numFmtId="0" fontId="9" fillId="2" borderId="0" xfId="0" applyFont="1" applyFill="1" applyAlignment="1">
      <alignment horizontal="left"/>
    </xf>
    <xf numFmtId="0" fontId="2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vertical="center" wrapText="1"/>
    </xf>
    <xf numFmtId="0" fontId="6" fillId="2" borderId="2" xfId="0" applyFont="1" applyFill="1" applyBorder="1"/>
    <xf numFmtId="164" fontId="9" fillId="2" borderId="0" xfId="0" applyNumberFormat="1" applyFont="1" applyFill="1" applyAlignment="1">
      <alignment horizontal="center" vertical="center" wrapText="1"/>
    </xf>
    <xf numFmtId="164" fontId="9" fillId="2" borderId="0" xfId="0" applyNumberFormat="1" applyFont="1" applyFill="1" applyAlignment="1">
      <alignment horizontal="left" vertical="center" wrapText="1"/>
    </xf>
    <xf numFmtId="2" fontId="6" fillId="2" borderId="0" xfId="0" applyNumberFormat="1" applyFont="1" applyFill="1"/>
    <xf numFmtId="0" fontId="11" fillId="2" borderId="0" xfId="0" applyFont="1" applyFill="1" applyAlignment="1">
      <alignment vertical="center" wrapText="1"/>
    </xf>
    <xf numFmtId="0" fontId="6" fillId="2" borderId="3" xfId="0" applyFont="1" applyFill="1" applyBorder="1"/>
    <xf numFmtId="0" fontId="6" fillId="2" borderId="4" xfId="0" applyFont="1" applyFill="1" applyBorder="1"/>
    <xf numFmtId="0" fontId="6" fillId="2" borderId="5" xfId="0" applyFont="1" applyFill="1" applyBorder="1"/>
    <xf numFmtId="0" fontId="6" fillId="2" borderId="6" xfId="0" applyFont="1" applyFill="1" applyBorder="1"/>
    <xf numFmtId="0" fontId="2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8" fillId="2" borderId="7" xfId="0" applyFont="1" applyFill="1" applyBorder="1" applyAlignment="1">
      <alignment vertical="center" wrapText="1"/>
    </xf>
    <xf numFmtId="0" fontId="10" fillId="2" borderId="0" xfId="0" applyFont="1" applyFill="1"/>
    <xf numFmtId="0" fontId="9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horizontal="center"/>
    </xf>
    <xf numFmtId="0" fontId="6" fillId="2" borderId="8" xfId="0" applyFont="1" applyFill="1" applyBorder="1"/>
    <xf numFmtId="0" fontId="10" fillId="2" borderId="1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1" xfId="0" applyFont="1" applyFill="1" applyBorder="1"/>
    <xf numFmtId="0" fontId="9" fillId="2" borderId="1" xfId="0" applyFont="1" applyFill="1" applyBorder="1" applyAlignment="1">
      <alignment horizontal="center" vertical="center" wrapText="1"/>
    </xf>
    <xf numFmtId="0" fontId="6" fillId="2" borderId="9" xfId="0" applyFont="1" applyFill="1" applyBorder="1"/>
    <xf numFmtId="0" fontId="5" fillId="2" borderId="0" xfId="0" applyFont="1" applyFill="1" applyAlignment="1">
      <alignment horizontal="center" vertical="center" wrapText="1"/>
    </xf>
    <xf numFmtId="20" fontId="6" fillId="2" borderId="10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2" fontId="5" fillId="2" borderId="0" xfId="0" applyNumberFormat="1" applyFont="1" applyFill="1" applyAlignment="1">
      <alignment horizontal="center" vertical="center" wrapText="1"/>
    </xf>
    <xf numFmtId="1" fontId="6" fillId="0" borderId="10" xfId="0" applyNumberFormat="1" applyFont="1" applyBorder="1" applyAlignment="1">
      <alignment horizontal="center" vertical="center" wrapText="1"/>
    </xf>
    <xf numFmtId="164" fontId="6" fillId="2" borderId="10" xfId="0" applyNumberFormat="1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/>
    </xf>
    <xf numFmtId="0" fontId="9" fillId="2" borderId="0" xfId="0" applyFont="1" applyFill="1" applyAlignment="1">
      <alignment horizontal="left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19" fillId="2" borderId="10" xfId="0" applyFont="1" applyFill="1" applyBorder="1" applyAlignment="1">
      <alignment horizontal="center" wrapText="1"/>
    </xf>
    <xf numFmtId="0" fontId="19" fillId="2" borderId="10" xfId="0" applyFont="1" applyFill="1" applyBorder="1" applyAlignment="1">
      <alignment horizontal="center"/>
    </xf>
    <xf numFmtId="2" fontId="6" fillId="0" borderId="10" xfId="0" applyNumberFormat="1" applyFont="1" applyBorder="1" applyAlignment="1">
      <alignment horizontal="center" vertical="center" wrapText="1"/>
    </xf>
    <xf numFmtId="2" fontId="6" fillId="2" borderId="10" xfId="0" applyNumberFormat="1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7" fillId="2" borderId="31" xfId="0" applyFont="1" applyFill="1" applyBorder="1" applyAlignment="1">
      <alignment horizontal="center" vertical="center" wrapText="1"/>
    </xf>
    <xf numFmtId="20" fontId="6" fillId="2" borderId="32" xfId="0" applyNumberFormat="1" applyFont="1" applyFill="1" applyBorder="1" applyAlignment="1">
      <alignment horizontal="center" vertical="center" wrapText="1"/>
    </xf>
    <xf numFmtId="2" fontId="6" fillId="0" borderId="32" xfId="0" applyNumberFormat="1" applyFont="1" applyBorder="1" applyAlignment="1">
      <alignment horizontal="center" vertical="center" wrapText="1"/>
    </xf>
    <xf numFmtId="164" fontId="6" fillId="2" borderId="32" xfId="0" applyNumberFormat="1" applyFont="1" applyFill="1" applyBorder="1" applyAlignment="1">
      <alignment horizontal="center" vertical="center" wrapText="1"/>
    </xf>
    <xf numFmtId="2" fontId="6" fillId="2" borderId="32" xfId="0" applyNumberFormat="1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20" fontId="0" fillId="3" borderId="13" xfId="0" applyNumberFormat="1" applyFill="1" applyBorder="1" applyAlignment="1">
      <alignment horizontal="center" vertical="center" wrapText="1"/>
    </xf>
    <xf numFmtId="0" fontId="0" fillId="3" borderId="13" xfId="0" quotePrefix="1" applyFill="1" applyBorder="1" applyAlignment="1">
      <alignment horizontal="center" vertical="center" wrapText="1"/>
    </xf>
    <xf numFmtId="20" fontId="0" fillId="3" borderId="20" xfId="0" applyNumberForma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18" fillId="2" borderId="3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15" fillId="2" borderId="2" xfId="0" applyFont="1" applyFill="1" applyBorder="1" applyAlignment="1">
      <alignment horizontal="left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164" fontId="6" fillId="0" borderId="10" xfId="0" applyNumberFormat="1" applyFont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" fillId="2" borderId="28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left" vertical="center" wrapText="1"/>
    </xf>
    <xf numFmtId="2" fontId="5" fillId="2" borderId="0" xfId="0" applyNumberFormat="1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2" fontId="5" fillId="2" borderId="10" xfId="0" applyNumberFormat="1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left"/>
    </xf>
    <xf numFmtId="0" fontId="9" fillId="2" borderId="5" xfId="0" applyFont="1" applyFill="1" applyBorder="1" applyAlignment="1">
      <alignment horizontal="left" vertical="center" wrapText="1"/>
    </xf>
    <xf numFmtId="164" fontId="6" fillId="2" borderId="12" xfId="0" applyNumberFormat="1" applyFont="1" applyFill="1" applyBorder="1" applyAlignment="1">
      <alignment horizontal="center" vertical="center" wrapText="1"/>
    </xf>
    <xf numFmtId="164" fontId="6" fillId="2" borderId="14" xfId="0" applyNumberFormat="1" applyFont="1" applyFill="1" applyBorder="1" applyAlignment="1">
      <alignment horizontal="center" vertical="center" wrapText="1"/>
    </xf>
    <xf numFmtId="164" fontId="6" fillId="2" borderId="13" xfId="0" applyNumberFormat="1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2" fontId="5" fillId="2" borderId="12" xfId="0" applyNumberFormat="1" applyFont="1" applyFill="1" applyBorder="1" applyAlignment="1">
      <alignment horizontal="center" vertical="center" wrapText="1"/>
    </xf>
    <xf numFmtId="2" fontId="5" fillId="2" borderId="14" xfId="0" applyNumberFormat="1" applyFont="1" applyFill="1" applyBorder="1" applyAlignment="1">
      <alignment horizontal="center" vertical="center" wrapText="1"/>
    </xf>
    <xf numFmtId="2" fontId="5" fillId="2" borderId="13" xfId="0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1" fontId="6" fillId="0" borderId="10" xfId="0" applyNumberFormat="1" applyFont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2" fontId="5" fillId="0" borderId="10" xfId="0" applyNumberFormat="1" applyFont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1" fontId="6" fillId="0" borderId="12" xfId="0" applyNumberFormat="1" applyFont="1" applyBorder="1" applyAlignment="1">
      <alignment horizontal="center" vertical="center" wrapText="1"/>
    </xf>
    <xf numFmtId="1" fontId="6" fillId="0" borderId="13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33" xfId="0" applyNumberFormat="1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2" borderId="32" xfId="0" applyFont="1" applyFill="1" applyBorder="1" applyAlignment="1">
      <alignment horizontal="center" vertical="center" wrapText="1"/>
    </xf>
    <xf numFmtId="164" fontId="6" fillId="0" borderId="12" xfId="0" applyNumberFormat="1" applyFont="1" applyBorder="1" applyAlignment="1">
      <alignment horizontal="center" vertical="center" wrapText="1"/>
    </xf>
    <xf numFmtId="164" fontId="6" fillId="0" borderId="13" xfId="0" applyNumberFormat="1" applyFont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2" fontId="6" fillId="0" borderId="12" xfId="0" applyNumberFormat="1" applyFont="1" applyBorder="1" applyAlignment="1">
      <alignment horizontal="center" vertical="center" wrapText="1"/>
    </xf>
    <xf numFmtId="2" fontId="6" fillId="0" borderId="14" xfId="0" applyNumberFormat="1" applyFont="1" applyBorder="1" applyAlignment="1">
      <alignment horizontal="center" vertical="center" wrapText="1"/>
    </xf>
    <xf numFmtId="2" fontId="6" fillId="0" borderId="13" xfId="0" applyNumberFormat="1" applyFont="1" applyBorder="1" applyAlignment="1">
      <alignment horizontal="center" vertical="center" wrapText="1"/>
    </xf>
    <xf numFmtId="0" fontId="17" fillId="2" borderId="30" xfId="0" applyFont="1" applyFill="1" applyBorder="1" applyAlignment="1">
      <alignment horizontal="center" vertical="center" wrapText="1"/>
    </xf>
    <xf numFmtId="0" fontId="17" fillId="2" borderId="36" xfId="0" applyFont="1" applyFill="1" applyBorder="1" applyAlignment="1">
      <alignment horizontal="center" vertical="center" wrapText="1"/>
    </xf>
    <xf numFmtId="0" fontId="22" fillId="2" borderId="16" xfId="0" applyFont="1" applyFill="1" applyBorder="1" applyAlignment="1">
      <alignment horizontal="center" wrapText="1"/>
    </xf>
    <xf numFmtId="0" fontId="22" fillId="2" borderId="17" xfId="0" applyFont="1" applyFill="1" applyBorder="1" applyAlignment="1">
      <alignment horizontal="center" wrapText="1"/>
    </xf>
    <xf numFmtId="0" fontId="22" fillId="2" borderId="18" xfId="0" applyFont="1" applyFill="1" applyBorder="1" applyAlignment="1">
      <alignment horizontal="center" wrapText="1"/>
    </xf>
    <xf numFmtId="0" fontId="22" fillId="2" borderId="1" xfId="0" applyFont="1" applyFill="1" applyBorder="1" applyAlignment="1">
      <alignment horizontal="center" wrapText="1"/>
    </xf>
    <xf numFmtId="0" fontId="22" fillId="2" borderId="0" xfId="0" applyFont="1" applyFill="1" applyAlignment="1">
      <alignment horizontal="center" wrapText="1"/>
    </xf>
    <xf numFmtId="0" fontId="22" fillId="2" borderId="8" xfId="0" applyFont="1" applyFill="1" applyBorder="1" applyAlignment="1">
      <alignment horizontal="center" wrapText="1"/>
    </xf>
    <xf numFmtId="0" fontId="22" fillId="2" borderId="19" xfId="0" applyFont="1" applyFill="1" applyBorder="1" applyAlignment="1">
      <alignment horizontal="center" wrapText="1"/>
    </xf>
    <xf numFmtId="0" fontId="22" fillId="2" borderId="11" xfId="0" applyFont="1" applyFill="1" applyBorder="1" applyAlignment="1">
      <alignment horizontal="center" wrapText="1"/>
    </xf>
    <xf numFmtId="0" fontId="22" fillId="2" borderId="20" xfId="0" applyFont="1" applyFill="1" applyBorder="1" applyAlignment="1">
      <alignment horizontal="center" wrapText="1"/>
    </xf>
    <xf numFmtId="0" fontId="14" fillId="2" borderId="12" xfId="0" applyFont="1" applyFill="1" applyBorder="1" applyAlignment="1">
      <alignment horizontal="left" vertical="center" wrapText="1"/>
    </xf>
    <xf numFmtId="0" fontId="14" fillId="2" borderId="14" xfId="0" applyFont="1" applyFill="1" applyBorder="1" applyAlignment="1">
      <alignment horizontal="left" vertical="center" wrapText="1"/>
    </xf>
    <xf numFmtId="0" fontId="14" fillId="2" borderId="13" xfId="0" applyFont="1" applyFill="1" applyBorder="1" applyAlignment="1">
      <alignment horizontal="left" vertical="center" wrapText="1"/>
    </xf>
    <xf numFmtId="0" fontId="14" fillId="2" borderId="16" xfId="0" applyFont="1" applyFill="1" applyBorder="1" applyAlignment="1">
      <alignment horizontal="left" vertical="center" wrapText="1"/>
    </xf>
    <xf numFmtId="0" fontId="14" fillId="2" borderId="17" xfId="0" applyFont="1" applyFill="1" applyBorder="1" applyAlignment="1">
      <alignment horizontal="left" vertical="center" wrapText="1"/>
    </xf>
    <xf numFmtId="0" fontId="19" fillId="2" borderId="12" xfId="0" applyFont="1" applyFill="1" applyBorder="1" applyAlignment="1">
      <alignment horizontal="center" wrapText="1"/>
    </xf>
    <xf numFmtId="0" fontId="19" fillId="2" borderId="13" xfId="0" applyFont="1" applyFill="1" applyBorder="1" applyAlignment="1">
      <alignment horizontal="center" wrapText="1"/>
    </xf>
    <xf numFmtId="0" fontId="17" fillId="2" borderId="10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left" vertical="center" wrapText="1"/>
    </xf>
    <xf numFmtId="0" fontId="11" fillId="2" borderId="10" xfId="0" applyFont="1" applyFill="1" applyBorder="1" applyAlignment="1">
      <alignment horizontal="left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18" fillId="2" borderId="30" xfId="0" applyFont="1" applyFill="1" applyBorder="1" applyAlignment="1">
      <alignment horizontal="center" vertical="center" wrapText="1"/>
    </xf>
    <xf numFmtId="14" fontId="11" fillId="2" borderId="10" xfId="0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 wrapText="1"/>
    </xf>
    <xf numFmtId="0" fontId="5" fillId="2" borderId="21" xfId="0" applyFont="1" applyFill="1" applyBorder="1" applyAlignment="1">
      <alignment horizontal="left" vertical="center" wrapText="1"/>
    </xf>
    <xf numFmtId="0" fontId="5" fillId="2" borderId="22" xfId="0" applyFont="1" applyFill="1" applyBorder="1" applyAlignment="1">
      <alignment horizontal="left" vertical="center" wrapText="1"/>
    </xf>
    <xf numFmtId="0" fontId="5" fillId="2" borderId="23" xfId="0" applyFont="1" applyFill="1" applyBorder="1" applyAlignment="1">
      <alignment horizontal="left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5" fillId="0" borderId="14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14" fontId="6" fillId="2" borderId="10" xfId="0" applyNumberFormat="1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14" fontId="0" fillId="3" borderId="12" xfId="0" applyNumberForma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15" fillId="2" borderId="2" xfId="0" applyFont="1" applyFill="1" applyBorder="1" applyAlignment="1">
      <alignment horizontal="left" vertical="center" wrapText="1"/>
    </xf>
    <xf numFmtId="0" fontId="15" fillId="2" borderId="29" xfId="0" applyFont="1" applyFill="1" applyBorder="1" applyAlignment="1">
      <alignment horizontal="left" vertical="center" wrapText="1"/>
    </xf>
  </cellXfs>
  <cellStyles count="4">
    <cellStyle name="Euro" xfId="1" xr:uid="{AA6371D2-1CCF-4CFB-BBDD-3A73217E50D4}"/>
    <cellStyle name="Lien hypertexte" xfId="2" xr:uid="{44A02D30-AE2D-4CC2-92CD-4ECE1F48B2EF}"/>
    <cellStyle name="Lien hypertexte visité" xfId="3" xr:uid="{CEBCE036-9DF7-43AA-B269-5DE982EF0C47}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72708</xdr:colOff>
      <xdr:row>40</xdr:row>
      <xdr:rowOff>0</xdr:rowOff>
    </xdr:from>
    <xdr:to>
      <xdr:col>8</xdr:col>
      <xdr:colOff>476791</xdr:colOff>
      <xdr:row>49</xdr:row>
      <xdr:rowOff>117861</xdr:rowOff>
    </xdr:to>
    <xdr:sp macro="" textlink="">
      <xdr:nvSpPr>
        <xdr:cNvPr id="217589" name="Rectangle 85">
          <a:extLst>
            <a:ext uri="{FF2B5EF4-FFF2-40B4-BE49-F238E27FC236}">
              <a16:creationId xmlns:a16="http://schemas.microsoft.com/office/drawing/2014/main" id="{A81E25EB-C748-E55A-C643-29B1DFD5D1E6}"/>
            </a:ext>
          </a:extLst>
        </xdr:cNvPr>
        <xdr:cNvSpPr>
          <a:spLocks noChangeArrowheads="1"/>
        </xdr:cNvSpPr>
      </xdr:nvSpPr>
      <xdr:spPr bwMode="auto">
        <a:xfrm>
          <a:off x="271074" y="10363679"/>
          <a:ext cx="4875017" cy="238990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es-CL" sz="1400"/>
            <a:t>CROQUIS</a:t>
          </a:r>
          <a:r>
            <a:rPr lang="es-CL" sz="1400" baseline="0"/>
            <a:t> ASOCIADO: GM-CR-HDPE-SUP-RAI-001</a:t>
          </a:r>
        </a:p>
      </xdr:txBody>
    </xdr:sp>
    <xdr:clientData/>
  </xdr:twoCellAnchor>
  <xdr:twoCellAnchor>
    <xdr:from>
      <xdr:col>1</xdr:col>
      <xdr:colOff>133350</xdr:colOff>
      <xdr:row>1</xdr:row>
      <xdr:rowOff>104775</xdr:rowOff>
    </xdr:from>
    <xdr:to>
      <xdr:col>5</xdr:col>
      <xdr:colOff>400050</xdr:colOff>
      <xdr:row>4</xdr:row>
      <xdr:rowOff>209550</xdr:rowOff>
    </xdr:to>
    <xdr:pic>
      <xdr:nvPicPr>
        <xdr:cNvPr id="218609" name="Imagen 4" descr="MEMB-LOGO">
          <a:extLst>
            <a:ext uri="{FF2B5EF4-FFF2-40B4-BE49-F238E27FC236}">
              <a16:creationId xmlns:a16="http://schemas.microsoft.com/office/drawing/2014/main" id="{76BE172E-04E5-E4AA-AEE0-435FCDD8B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200025"/>
          <a:ext cx="2714625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19050</xdr:colOff>
      <xdr:row>45</xdr:row>
      <xdr:rowOff>57150</xdr:rowOff>
    </xdr:from>
    <xdr:to>
      <xdr:col>34</xdr:col>
      <xdr:colOff>266700</xdr:colOff>
      <xdr:row>47</xdr:row>
      <xdr:rowOff>180975</xdr:rowOff>
    </xdr:to>
    <xdr:cxnSp macro="">
      <xdr:nvCxnSpPr>
        <xdr:cNvPr id="218610" name="Conector recto 6">
          <a:extLst>
            <a:ext uri="{FF2B5EF4-FFF2-40B4-BE49-F238E27FC236}">
              <a16:creationId xmlns:a16="http://schemas.microsoft.com/office/drawing/2014/main" id="{BF2CD483-4830-59AB-F4EE-3E6DC39FC63B}"/>
            </a:ext>
          </a:extLst>
        </xdr:cNvPr>
        <xdr:cNvCxnSpPr>
          <a:cxnSpLocks noChangeShapeType="1"/>
        </xdr:cNvCxnSpPr>
      </xdr:nvCxnSpPr>
      <xdr:spPr bwMode="auto">
        <a:xfrm flipH="1">
          <a:off x="4648200" y="11696700"/>
          <a:ext cx="13325475" cy="619125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8572</xdr:colOff>
      <xdr:row>25</xdr:row>
      <xdr:rowOff>121147</xdr:rowOff>
    </xdr:from>
    <xdr:to>
      <xdr:col>37</xdr:col>
      <xdr:colOff>507014</xdr:colOff>
      <xdr:row>25</xdr:row>
      <xdr:rowOff>140197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7B1ACABB-27C8-3F5D-9C18-C6A89A950A6F}"/>
            </a:ext>
          </a:extLst>
        </xdr:cNvPr>
        <xdr:cNvCxnSpPr/>
      </xdr:nvCxnSpPr>
      <xdr:spPr bwMode="auto">
        <a:xfrm flipV="1">
          <a:off x="181292" y="6349227"/>
          <a:ext cx="19324922" cy="1905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185783</xdr:colOff>
      <xdr:row>25</xdr:row>
      <xdr:rowOff>96520</xdr:rowOff>
    </xdr:from>
    <xdr:to>
      <xdr:col>37</xdr:col>
      <xdr:colOff>609600</xdr:colOff>
      <xdr:row>34</xdr:row>
      <xdr:rowOff>202432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63670EB4-2CC1-B827-5547-29EA2C8A51CF}"/>
            </a:ext>
          </a:extLst>
        </xdr:cNvPr>
        <xdr:cNvCxnSpPr/>
      </xdr:nvCxnSpPr>
      <xdr:spPr bwMode="auto">
        <a:xfrm flipV="1">
          <a:off x="358503" y="6324600"/>
          <a:ext cx="19250297" cy="3031992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44</xdr:row>
      <xdr:rowOff>219075</xdr:rowOff>
    </xdr:from>
    <xdr:to>
      <xdr:col>34</xdr:col>
      <xdr:colOff>295275</xdr:colOff>
      <xdr:row>45</xdr:row>
      <xdr:rowOff>57150</xdr:rowOff>
    </xdr:to>
    <xdr:cxnSp macro="">
      <xdr:nvCxnSpPr>
        <xdr:cNvPr id="218613" name="Conector recto 10">
          <a:extLst>
            <a:ext uri="{FF2B5EF4-FFF2-40B4-BE49-F238E27FC236}">
              <a16:creationId xmlns:a16="http://schemas.microsoft.com/office/drawing/2014/main" id="{1D506D9C-02B0-BF72-9B6B-6D3D20EA51E5}"/>
            </a:ext>
          </a:extLst>
        </xdr:cNvPr>
        <xdr:cNvCxnSpPr>
          <a:cxnSpLocks noChangeShapeType="1"/>
        </xdr:cNvCxnSpPr>
      </xdr:nvCxnSpPr>
      <xdr:spPr bwMode="auto">
        <a:xfrm flipH="1" flipV="1">
          <a:off x="4648200" y="11610975"/>
          <a:ext cx="13354050" cy="85725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EF941-4EB3-4C10-8444-A232AAE2BB18}">
  <sheetPr codeName="Hoja1">
    <pageSetUpPr fitToPage="1"/>
  </sheetPr>
  <dimension ref="B1:AS77"/>
  <sheetViews>
    <sheetView tabSelected="1" view="pageBreakPreview" topLeftCell="C3" zoomScale="75" zoomScaleNormal="75" zoomScaleSheetLayoutView="75" workbookViewId="0">
      <selection activeCell="AB10" sqref="AB10:AL10"/>
    </sheetView>
  </sheetViews>
  <sheetFormatPr baseColWidth="10" defaultColWidth="9.109375" defaultRowHeight="13.2" x14ac:dyDescent="0.25"/>
  <cols>
    <col min="1" max="1" width="2.44140625" style="1" customWidth="1"/>
    <col min="2" max="2" width="7.44140625" style="1" customWidth="1"/>
    <col min="3" max="3" width="7.109375" style="1" customWidth="1"/>
    <col min="4" max="4" width="12.88671875" style="1" customWidth="1"/>
    <col min="5" max="5" width="9.33203125" style="1" customWidth="1"/>
    <col min="6" max="6" width="10.44140625" style="1" customWidth="1"/>
    <col min="7" max="7" width="2.6640625" style="1" customWidth="1"/>
    <col min="8" max="8" width="7.6640625" style="1" customWidth="1"/>
    <col min="9" max="9" width="9.109375" style="1" customWidth="1"/>
    <col min="10" max="10" width="0.33203125" style="1" customWidth="1"/>
    <col min="11" max="11" width="13.44140625" style="1" customWidth="1"/>
    <col min="12" max="12" width="9.44140625" style="1" customWidth="1"/>
    <col min="13" max="13" width="4.6640625" style="1" customWidth="1"/>
    <col min="14" max="15" width="8.44140625" style="1" customWidth="1"/>
    <col min="16" max="16" width="9.109375" style="1" customWidth="1"/>
    <col min="17" max="18" width="11.44140625" style="1" customWidth="1"/>
    <col min="19" max="19" width="10" style="1" customWidth="1"/>
    <col min="20" max="20" width="10.44140625" style="1" customWidth="1"/>
    <col min="21" max="21" width="13.33203125" style="1" customWidth="1"/>
    <col min="22" max="22" width="12.6640625" style="1" customWidth="1"/>
    <col min="23" max="23" width="9.33203125" style="1" customWidth="1"/>
    <col min="24" max="24" width="9.44140625" style="1" customWidth="1"/>
    <col min="25" max="25" width="6.88671875" style="1" customWidth="1"/>
    <col min="26" max="26" width="8.44140625" style="1" customWidth="1"/>
    <col min="27" max="27" width="9.44140625" style="1" customWidth="1"/>
    <col min="28" max="28" width="3" style="1" customWidth="1"/>
    <col min="29" max="29" width="6" style="1" customWidth="1"/>
    <col min="30" max="30" width="6.33203125" style="1" customWidth="1"/>
    <col min="31" max="31" width="3.6640625" style="1" customWidth="1"/>
    <col min="32" max="32" width="4.44140625" style="1" customWidth="1"/>
    <col min="33" max="33" width="3" style="1" hidden="1" customWidth="1"/>
    <col min="34" max="34" width="6.44140625" style="1" customWidth="1"/>
    <col min="35" max="35" width="5.44140625" style="1" customWidth="1"/>
    <col min="36" max="36" width="4.6640625" style="1" customWidth="1"/>
    <col min="37" max="37" width="0.109375" style="1" customWidth="1"/>
    <col min="38" max="38" width="9.44140625" style="1" customWidth="1"/>
    <col min="39" max="44" width="1.6640625" style="1" customWidth="1"/>
    <col min="45" max="45" width="2.44140625" style="1" customWidth="1"/>
    <col min="46" max="46" width="21.44140625" style="1" customWidth="1"/>
    <col min="47" max="66" width="1.6640625" style="1" customWidth="1"/>
    <col min="67" max="256" width="11.44140625" style="1" customWidth="1"/>
    <col min="257" max="16384" width="9.109375" style="1"/>
  </cols>
  <sheetData>
    <row r="1" spans="2:38" ht="7.5" customHeight="1" x14ac:dyDescent="0.25"/>
    <row r="2" spans="2:38" ht="23.25" customHeight="1" x14ac:dyDescent="0.25">
      <c r="B2" s="124"/>
      <c r="C2" s="125"/>
      <c r="D2" s="125"/>
      <c r="E2" s="125"/>
      <c r="F2" s="126"/>
      <c r="G2" s="144" t="s">
        <v>0</v>
      </c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6"/>
    </row>
    <row r="3" spans="2:38" ht="22.5" customHeight="1" x14ac:dyDescent="0.25">
      <c r="B3" s="127"/>
      <c r="C3" s="128"/>
      <c r="D3" s="128"/>
      <c r="E3" s="128"/>
      <c r="F3" s="129"/>
      <c r="G3" s="147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9"/>
    </row>
    <row r="4" spans="2:38" ht="20.25" customHeight="1" x14ac:dyDescent="0.25">
      <c r="B4" s="127"/>
      <c r="C4" s="128"/>
      <c r="D4" s="128"/>
      <c r="E4" s="128"/>
      <c r="F4" s="129"/>
      <c r="G4" s="133" t="s">
        <v>1</v>
      </c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5"/>
    </row>
    <row r="5" spans="2:38" ht="19.5" customHeight="1" x14ac:dyDescent="0.25">
      <c r="B5" s="130"/>
      <c r="C5" s="131"/>
      <c r="D5" s="131"/>
      <c r="E5" s="131"/>
      <c r="F5" s="132"/>
      <c r="G5" s="136" t="s">
        <v>2</v>
      </c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4"/>
      <c r="AF5" s="134"/>
      <c r="AG5" s="134"/>
      <c r="AH5" s="134"/>
      <c r="AI5" s="134"/>
      <c r="AJ5" s="134"/>
      <c r="AK5" s="134"/>
      <c r="AL5" s="135"/>
    </row>
    <row r="6" spans="2:38" ht="18.75" customHeight="1" x14ac:dyDescent="0.25">
      <c r="B6" s="142" t="s">
        <v>3</v>
      </c>
      <c r="C6" s="142"/>
      <c r="D6" s="142"/>
      <c r="E6" s="74" t="s">
        <v>4</v>
      </c>
      <c r="F6" s="74"/>
      <c r="G6" s="74"/>
      <c r="H6" s="74"/>
      <c r="I6" s="74"/>
      <c r="J6" s="74"/>
      <c r="K6" s="74"/>
      <c r="L6" s="74"/>
      <c r="M6" s="74" t="s">
        <v>5</v>
      </c>
      <c r="N6" s="74"/>
      <c r="O6" s="74"/>
      <c r="P6" s="74"/>
      <c r="Q6" s="74"/>
      <c r="R6" s="74"/>
      <c r="S6" s="74"/>
      <c r="T6" s="74"/>
      <c r="U6" s="74" t="s">
        <v>6</v>
      </c>
      <c r="V6" s="74"/>
      <c r="W6" s="74"/>
      <c r="X6" s="74"/>
      <c r="Y6" s="74"/>
      <c r="Z6" s="74"/>
      <c r="AA6" s="74"/>
      <c r="AB6" s="74" t="s">
        <v>7</v>
      </c>
      <c r="AC6" s="74"/>
      <c r="AD6" s="74"/>
      <c r="AE6" s="74"/>
      <c r="AF6" s="74"/>
      <c r="AG6" s="74"/>
      <c r="AH6" s="74"/>
      <c r="AI6" s="74"/>
      <c r="AJ6" s="74"/>
      <c r="AK6" s="74"/>
      <c r="AL6" s="74"/>
    </row>
    <row r="7" spans="2:38" ht="30" customHeight="1" x14ac:dyDescent="0.25">
      <c r="B7" s="143" t="s">
        <v>8</v>
      </c>
      <c r="C7" s="143"/>
      <c r="D7" s="143"/>
      <c r="E7" s="74">
        <v>6330</v>
      </c>
      <c r="F7" s="74"/>
      <c r="G7" s="74"/>
      <c r="H7" s="74"/>
      <c r="I7" s="185"/>
      <c r="J7" s="185"/>
      <c r="K7" s="185"/>
      <c r="L7" s="185"/>
      <c r="M7" s="185" t="s">
        <v>87</v>
      </c>
      <c r="N7" s="185"/>
      <c r="O7" s="185"/>
      <c r="P7" s="185"/>
      <c r="Q7" s="185"/>
      <c r="R7" s="185"/>
      <c r="S7" s="185"/>
      <c r="T7" s="185"/>
      <c r="U7" s="185" t="s">
        <v>84</v>
      </c>
      <c r="V7" s="74"/>
      <c r="W7" s="74"/>
      <c r="X7" s="74"/>
      <c r="Y7" s="74"/>
      <c r="Z7" s="74"/>
      <c r="AA7" s="74"/>
      <c r="AB7" s="170">
        <v>45925</v>
      </c>
      <c r="AC7" s="74"/>
      <c r="AD7" s="74"/>
      <c r="AE7" s="74"/>
      <c r="AF7" s="74"/>
      <c r="AG7" s="74"/>
      <c r="AH7" s="74"/>
      <c r="AI7" s="74"/>
      <c r="AJ7" s="74"/>
      <c r="AK7" s="74"/>
      <c r="AL7" s="74"/>
    </row>
    <row r="8" spans="2:38" ht="18.75" customHeight="1" x14ac:dyDescent="0.25">
      <c r="B8" s="78" t="s">
        <v>9</v>
      </c>
      <c r="C8" s="79"/>
      <c r="D8" s="80"/>
      <c r="E8" s="161" t="s">
        <v>10</v>
      </c>
      <c r="F8" s="161"/>
      <c r="G8" s="161"/>
      <c r="H8" s="161"/>
      <c r="I8" s="161"/>
      <c r="J8" s="161"/>
      <c r="K8" s="161"/>
      <c r="L8" s="161" t="s">
        <v>11</v>
      </c>
      <c r="M8" s="161"/>
      <c r="N8" s="161"/>
      <c r="O8" s="161"/>
      <c r="P8" s="161"/>
      <c r="Q8" s="161"/>
      <c r="R8" s="71" t="s">
        <v>12</v>
      </c>
      <c r="S8" s="72"/>
      <c r="T8" s="72"/>
      <c r="U8" s="73"/>
      <c r="V8" s="74" t="s">
        <v>13</v>
      </c>
      <c r="W8" s="74"/>
      <c r="X8" s="74"/>
      <c r="Y8" s="74"/>
      <c r="Z8" s="74"/>
      <c r="AA8" s="74"/>
      <c r="AB8" s="74" t="s">
        <v>14</v>
      </c>
      <c r="AC8" s="74"/>
      <c r="AD8" s="74"/>
      <c r="AE8" s="74"/>
      <c r="AF8" s="74"/>
      <c r="AG8" s="74"/>
      <c r="AH8" s="74"/>
      <c r="AI8" s="74"/>
      <c r="AJ8" s="74"/>
      <c r="AK8" s="74"/>
      <c r="AL8" s="74"/>
    </row>
    <row r="9" spans="2:38" ht="18.75" customHeight="1" x14ac:dyDescent="0.25">
      <c r="B9" s="150" t="s">
        <v>15</v>
      </c>
      <c r="C9" s="151"/>
      <c r="D9" s="152"/>
      <c r="E9" s="78" t="s">
        <v>16</v>
      </c>
      <c r="F9" s="79"/>
      <c r="G9" s="79"/>
      <c r="H9" s="80"/>
      <c r="I9" s="78" t="s">
        <v>17</v>
      </c>
      <c r="J9" s="79"/>
      <c r="K9" s="80"/>
      <c r="L9" s="161" t="s">
        <v>16</v>
      </c>
      <c r="M9" s="161"/>
      <c r="N9" s="161"/>
      <c r="O9" s="161" t="s">
        <v>17</v>
      </c>
      <c r="P9" s="161"/>
      <c r="Q9" s="161"/>
      <c r="R9" s="74" t="s">
        <v>16</v>
      </c>
      <c r="S9" s="74"/>
      <c r="T9" s="74" t="s">
        <v>17</v>
      </c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</row>
    <row r="10" spans="2:38" ht="48" customHeight="1" x14ac:dyDescent="0.25">
      <c r="B10" s="153"/>
      <c r="C10" s="154"/>
      <c r="D10" s="155"/>
      <c r="E10" s="78">
        <v>6330</v>
      </c>
      <c r="F10" s="79"/>
      <c r="G10" s="79"/>
      <c r="H10" s="80"/>
      <c r="I10" s="78" t="s">
        <v>18</v>
      </c>
      <c r="J10" s="79"/>
      <c r="K10" s="80"/>
      <c r="L10" s="78" t="s">
        <v>19</v>
      </c>
      <c r="M10" s="79"/>
      <c r="N10" s="80"/>
      <c r="O10" s="71" t="s">
        <v>20</v>
      </c>
      <c r="P10" s="72"/>
      <c r="Q10" s="73"/>
      <c r="R10" s="71" t="s">
        <v>21</v>
      </c>
      <c r="S10" s="73"/>
      <c r="T10" s="71" t="s">
        <v>22</v>
      </c>
      <c r="U10" s="73"/>
      <c r="V10" s="74" t="s">
        <v>23</v>
      </c>
      <c r="W10" s="74"/>
      <c r="X10" s="74"/>
      <c r="Y10" s="74"/>
      <c r="Z10" s="74"/>
      <c r="AA10" s="74"/>
      <c r="AB10" s="162" t="s">
        <v>85</v>
      </c>
      <c r="AC10" s="162"/>
      <c r="AD10" s="162"/>
      <c r="AE10" s="162"/>
      <c r="AF10" s="162"/>
      <c r="AG10" s="162"/>
      <c r="AH10" s="162"/>
      <c r="AI10" s="162"/>
      <c r="AJ10" s="162"/>
      <c r="AK10" s="162"/>
      <c r="AL10" s="162"/>
    </row>
    <row r="11" spans="2:38" ht="3.75" customHeight="1" x14ac:dyDescent="0.25">
      <c r="B11" s="28"/>
      <c r="C11" s="2"/>
      <c r="D11" s="2"/>
      <c r="E11" s="2"/>
      <c r="F11" s="2"/>
      <c r="G11" s="26"/>
      <c r="H11" s="26"/>
      <c r="I11" s="26"/>
      <c r="J11" s="2"/>
      <c r="K11" s="2"/>
      <c r="L11" s="2"/>
      <c r="M11" s="2"/>
      <c r="N11" s="2"/>
      <c r="O11" s="2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29"/>
    </row>
    <row r="12" spans="2:38" ht="24" customHeight="1" x14ac:dyDescent="0.25">
      <c r="B12" s="164" t="s">
        <v>24</v>
      </c>
      <c r="C12" s="165"/>
      <c r="D12" s="165"/>
      <c r="E12" s="165"/>
      <c r="F12" s="165"/>
      <c r="G12" s="165"/>
      <c r="H12" s="165"/>
      <c r="I12" s="165"/>
      <c r="J12" s="165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29"/>
    </row>
    <row r="13" spans="2:38" ht="21.75" customHeight="1" x14ac:dyDescent="0.25">
      <c r="B13" s="186" t="s">
        <v>25</v>
      </c>
      <c r="C13" s="187"/>
      <c r="D13" s="187"/>
      <c r="E13" s="187"/>
      <c r="F13" s="188" t="s">
        <v>26</v>
      </c>
      <c r="G13" s="188"/>
      <c r="H13" s="188"/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8"/>
      <c r="AH13" s="188"/>
      <c r="AI13" s="188"/>
      <c r="AJ13" s="188"/>
      <c r="AK13" s="188"/>
      <c r="AL13" s="189"/>
    </row>
    <row r="14" spans="2:38" ht="7.5" customHeight="1" x14ac:dyDescent="0.25">
      <c r="B14" s="30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31"/>
    </row>
    <row r="15" spans="2:38" ht="23.25" customHeight="1" x14ac:dyDescent="0.4">
      <c r="B15" s="166" t="s">
        <v>27</v>
      </c>
      <c r="C15" s="105"/>
      <c r="D15" s="105"/>
      <c r="E15" s="105"/>
      <c r="F15" s="49" t="s">
        <v>28</v>
      </c>
      <c r="G15" s="163" t="s">
        <v>29</v>
      </c>
      <c r="H15" s="163"/>
      <c r="I15" s="49" t="s">
        <v>30</v>
      </c>
      <c r="J15" s="48"/>
      <c r="K15" s="46" t="s">
        <v>31</v>
      </c>
      <c r="L15" s="49" t="s">
        <v>28</v>
      </c>
      <c r="M15" s="6" t="s">
        <v>32</v>
      </c>
      <c r="N15" s="49" t="s">
        <v>30</v>
      </c>
      <c r="O15" s="46" t="s">
        <v>33</v>
      </c>
      <c r="P15" s="49" t="s">
        <v>30</v>
      </c>
      <c r="Q15" s="46" t="s">
        <v>34</v>
      </c>
      <c r="R15" s="49" t="s">
        <v>30</v>
      </c>
      <c r="S15" s="46" t="s">
        <v>35</v>
      </c>
      <c r="T15" s="49" t="s">
        <v>30</v>
      </c>
      <c r="U15" s="22" t="s">
        <v>36</v>
      </c>
      <c r="V15" s="49" t="s">
        <v>30</v>
      </c>
      <c r="W15" s="22" t="s">
        <v>37</v>
      </c>
      <c r="X15" s="49" t="s">
        <v>30</v>
      </c>
      <c r="Y15" s="46" t="s">
        <v>38</v>
      </c>
      <c r="Z15" s="50" t="s">
        <v>30</v>
      </c>
      <c r="AA15" s="22" t="s">
        <v>39</v>
      </c>
      <c r="AB15" s="138" t="s">
        <v>30</v>
      </c>
      <c r="AC15" s="139"/>
      <c r="AD15" s="7" t="s">
        <v>40</v>
      </c>
      <c r="AE15" s="180" t="s">
        <v>30</v>
      </c>
      <c r="AF15" s="181"/>
      <c r="AG15" s="22"/>
      <c r="AH15" s="22" t="s">
        <v>41</v>
      </c>
      <c r="AI15" s="8"/>
      <c r="AJ15" s="8"/>
      <c r="AK15" s="7"/>
      <c r="AL15" s="29"/>
    </row>
    <row r="16" spans="2:38" ht="7.5" customHeight="1" x14ac:dyDescent="0.25">
      <c r="B16" s="32"/>
      <c r="C16" s="4"/>
      <c r="D16" s="4"/>
      <c r="E16" s="4"/>
      <c r="F16" s="4"/>
      <c r="G16" s="4"/>
      <c r="H16" s="4"/>
      <c r="I16" s="4"/>
      <c r="J16" s="4"/>
      <c r="K16" s="9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3"/>
      <c r="AG16" s="3"/>
      <c r="AH16" s="3"/>
      <c r="AI16" s="3"/>
      <c r="AJ16" s="3"/>
      <c r="AK16" s="3"/>
      <c r="AL16" s="29"/>
    </row>
    <row r="17" spans="2:38" ht="19.5" hidden="1" customHeight="1" x14ac:dyDescent="0.25">
      <c r="B17" s="32"/>
      <c r="C17" s="4"/>
      <c r="D17" s="4"/>
      <c r="E17" s="4"/>
      <c r="F17" s="4"/>
      <c r="G17" s="4"/>
      <c r="H17" s="4"/>
      <c r="I17" s="4"/>
      <c r="J17" s="4"/>
      <c r="K17" s="11"/>
      <c r="L17" s="102"/>
      <c r="M17" s="102"/>
      <c r="N17" s="26"/>
      <c r="O17" s="12"/>
      <c r="P17" s="102"/>
      <c r="Q17" s="102"/>
      <c r="R17" s="3"/>
      <c r="S17" s="10"/>
      <c r="T17" s="171"/>
      <c r="U17" s="171"/>
      <c r="V17" s="171"/>
      <c r="W17" s="171"/>
      <c r="X17" s="171"/>
      <c r="Y17" s="171"/>
      <c r="Z17" s="171"/>
      <c r="AA17" s="171"/>
      <c r="AB17" s="171"/>
      <c r="AC17" s="171"/>
      <c r="AD17" s="171"/>
      <c r="AE17" s="171"/>
      <c r="AF17" s="171"/>
      <c r="AG17" s="171"/>
      <c r="AH17" s="171"/>
      <c r="AI17" s="171"/>
      <c r="AJ17" s="171"/>
      <c r="AK17" s="171"/>
      <c r="AL17" s="29"/>
    </row>
    <row r="18" spans="2:38" ht="16.5" customHeight="1" x14ac:dyDescent="0.25">
      <c r="B18" s="164" t="s">
        <v>42</v>
      </c>
      <c r="C18" s="165"/>
      <c r="D18" s="165"/>
      <c r="E18" s="165"/>
      <c r="F18" s="165"/>
      <c r="G18" s="165"/>
      <c r="H18" s="165"/>
      <c r="I18" s="165"/>
      <c r="J18" s="16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13"/>
      <c r="AF18" s="13"/>
      <c r="AG18" s="13"/>
      <c r="AH18" s="13"/>
      <c r="AI18" s="13"/>
      <c r="AJ18" s="13"/>
      <c r="AK18" s="4"/>
      <c r="AL18" s="29"/>
    </row>
    <row r="19" spans="2:38" ht="9.75" customHeight="1" x14ac:dyDescent="0.25">
      <c r="B19" s="164"/>
      <c r="C19" s="165"/>
      <c r="D19" s="165"/>
      <c r="E19" s="165"/>
      <c r="F19" s="165"/>
      <c r="G19" s="165"/>
      <c r="H19" s="165"/>
      <c r="I19" s="165"/>
      <c r="J19" s="165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29"/>
    </row>
    <row r="20" spans="2:38" ht="28.5" customHeight="1" x14ac:dyDescent="0.25">
      <c r="B20" s="140" t="s">
        <v>7</v>
      </c>
      <c r="C20" s="140"/>
      <c r="D20" s="157" t="s">
        <v>43</v>
      </c>
      <c r="E20" s="156" t="s">
        <v>44</v>
      </c>
      <c r="F20" s="158"/>
      <c r="G20" s="158"/>
      <c r="H20" s="159"/>
      <c r="I20" s="140" t="s">
        <v>45</v>
      </c>
      <c r="J20" s="156"/>
      <c r="K20" s="140" t="s">
        <v>46</v>
      </c>
      <c r="L20" s="140"/>
      <c r="M20" s="140" t="s">
        <v>47</v>
      </c>
      <c r="N20" s="140"/>
      <c r="O20" s="140"/>
      <c r="P20" s="47" t="s">
        <v>48</v>
      </c>
      <c r="Q20" s="156" t="s">
        <v>49</v>
      </c>
      <c r="R20" s="158"/>
      <c r="S20" s="158"/>
      <c r="T20" s="158"/>
      <c r="U20" s="122" t="s">
        <v>50</v>
      </c>
      <c r="V20" s="122"/>
      <c r="W20" s="123"/>
      <c r="X20" s="123"/>
      <c r="Y20" s="123"/>
      <c r="Z20" s="167" t="s">
        <v>51</v>
      </c>
      <c r="AA20" s="168"/>
      <c r="AB20" s="168"/>
      <c r="AC20" s="168"/>
      <c r="AD20" s="168"/>
      <c r="AE20" s="168"/>
      <c r="AF20" s="168"/>
      <c r="AG20" s="168"/>
      <c r="AH20" s="168"/>
      <c r="AI20" s="168"/>
      <c r="AJ20" s="168"/>
      <c r="AK20" s="168"/>
      <c r="AL20" s="168"/>
    </row>
    <row r="21" spans="2:38" ht="21.75" customHeight="1" x14ac:dyDescent="0.25">
      <c r="B21" s="141"/>
      <c r="C21" s="141"/>
      <c r="D21" s="160"/>
      <c r="E21" s="53" t="s">
        <v>52</v>
      </c>
      <c r="F21" s="53" t="s">
        <v>53</v>
      </c>
      <c r="G21" s="179" t="s">
        <v>54</v>
      </c>
      <c r="H21" s="179"/>
      <c r="I21" s="141"/>
      <c r="J21" s="157"/>
      <c r="K21" s="141"/>
      <c r="L21" s="141"/>
      <c r="M21" s="141"/>
      <c r="N21" s="141"/>
      <c r="O21" s="141"/>
      <c r="P21" s="54" t="s">
        <v>55</v>
      </c>
      <c r="Q21" s="53" t="s">
        <v>56</v>
      </c>
      <c r="R21" s="53" t="s">
        <v>57</v>
      </c>
      <c r="S21" s="183" t="s">
        <v>58</v>
      </c>
      <c r="T21" s="184"/>
      <c r="U21" s="65" t="s">
        <v>56</v>
      </c>
      <c r="V21" s="66" t="s">
        <v>57</v>
      </c>
      <c r="W21" s="169" t="s">
        <v>58</v>
      </c>
      <c r="X21" s="169"/>
      <c r="Y21" s="169"/>
      <c r="Z21" s="167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  <c r="AK21" s="168"/>
      <c r="AL21" s="168"/>
    </row>
    <row r="22" spans="2:38" ht="25.2" customHeight="1" x14ac:dyDescent="0.25">
      <c r="B22" s="182">
        <v>45925</v>
      </c>
      <c r="C22" s="76"/>
      <c r="D22" s="60">
        <v>0.36319444444444443</v>
      </c>
      <c r="E22" s="61" t="s">
        <v>30</v>
      </c>
      <c r="F22" s="61" t="s">
        <v>30</v>
      </c>
      <c r="G22" s="75" t="s">
        <v>59</v>
      </c>
      <c r="H22" s="76"/>
      <c r="I22" s="75">
        <v>1</v>
      </c>
      <c r="J22" s="76"/>
      <c r="K22" s="75">
        <v>95</v>
      </c>
      <c r="L22" s="76"/>
      <c r="M22" s="75" t="s">
        <v>60</v>
      </c>
      <c r="N22" s="75"/>
      <c r="O22" s="76"/>
      <c r="P22" s="59" t="s">
        <v>61</v>
      </c>
      <c r="Q22" s="59" t="s">
        <v>62</v>
      </c>
      <c r="R22" s="59" t="s">
        <v>63</v>
      </c>
      <c r="S22" s="75" t="s">
        <v>64</v>
      </c>
      <c r="T22" s="76"/>
      <c r="U22" s="59">
        <v>80.5</v>
      </c>
      <c r="V22" s="59" t="s">
        <v>65</v>
      </c>
      <c r="W22" s="118">
        <f>V22*U22</f>
        <v>552.23</v>
      </c>
      <c r="X22" s="118"/>
      <c r="Y22" s="118"/>
      <c r="Z22" s="112" t="s">
        <v>82</v>
      </c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</row>
    <row r="23" spans="2:38" ht="25.2" customHeight="1" x14ac:dyDescent="0.25">
      <c r="B23" s="182">
        <v>45925</v>
      </c>
      <c r="C23" s="76"/>
      <c r="D23" s="62">
        <v>0.3923611111111111</v>
      </c>
      <c r="E23" s="63" t="s">
        <v>30</v>
      </c>
      <c r="F23" s="63" t="s">
        <v>30</v>
      </c>
      <c r="G23" s="75" t="s">
        <v>59</v>
      </c>
      <c r="H23" s="76"/>
      <c r="I23" s="75">
        <v>2</v>
      </c>
      <c r="J23" s="76"/>
      <c r="K23" s="75">
        <v>75</v>
      </c>
      <c r="L23" s="76"/>
      <c r="M23" s="75" t="s">
        <v>60</v>
      </c>
      <c r="N23" s="75"/>
      <c r="O23" s="76"/>
      <c r="P23" s="64" t="s">
        <v>61</v>
      </c>
      <c r="Q23" s="64" t="s">
        <v>62</v>
      </c>
      <c r="R23" s="64" t="s">
        <v>63</v>
      </c>
      <c r="S23" s="75" t="s">
        <v>64</v>
      </c>
      <c r="T23" s="76"/>
      <c r="U23" s="64">
        <v>80.5</v>
      </c>
      <c r="V23" s="64" t="s">
        <v>65</v>
      </c>
      <c r="W23" s="118">
        <f t="shared" ref="W23:W25" si="0">V23*U23</f>
        <v>552.23</v>
      </c>
      <c r="X23" s="118"/>
      <c r="Y23" s="118"/>
      <c r="Z23" s="112" t="s">
        <v>82</v>
      </c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</row>
    <row r="24" spans="2:38" ht="25.2" customHeight="1" x14ac:dyDescent="0.25">
      <c r="B24" s="182">
        <v>45925</v>
      </c>
      <c r="C24" s="76"/>
      <c r="D24" s="62">
        <v>0.43958333333333333</v>
      </c>
      <c r="E24" s="63" t="s">
        <v>30</v>
      </c>
      <c r="F24" s="63" t="s">
        <v>30</v>
      </c>
      <c r="G24" s="75" t="s">
        <v>59</v>
      </c>
      <c r="H24" s="76"/>
      <c r="I24" s="75">
        <v>3</v>
      </c>
      <c r="J24" s="76"/>
      <c r="K24" s="75">
        <v>98</v>
      </c>
      <c r="L24" s="76"/>
      <c r="M24" s="75" t="s">
        <v>60</v>
      </c>
      <c r="N24" s="75"/>
      <c r="O24" s="76"/>
      <c r="P24" s="64" t="s">
        <v>61</v>
      </c>
      <c r="Q24" s="64" t="s">
        <v>62</v>
      </c>
      <c r="R24" s="64" t="s">
        <v>63</v>
      </c>
      <c r="S24" s="75" t="s">
        <v>64</v>
      </c>
      <c r="T24" s="76"/>
      <c r="U24" s="64">
        <v>80.5</v>
      </c>
      <c r="V24" s="64" t="s">
        <v>65</v>
      </c>
      <c r="W24" s="118">
        <f t="shared" si="0"/>
        <v>552.23</v>
      </c>
      <c r="X24" s="118"/>
      <c r="Y24" s="118"/>
      <c r="Z24" s="112" t="s">
        <v>82</v>
      </c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</row>
    <row r="25" spans="2:38" ht="25.2" customHeight="1" x14ac:dyDescent="0.25">
      <c r="B25" s="182">
        <v>45925</v>
      </c>
      <c r="C25" s="76"/>
      <c r="D25" s="55">
        <v>0.45833333333333331</v>
      </c>
      <c r="E25" s="63" t="s">
        <v>30</v>
      </c>
      <c r="F25" s="63" t="s">
        <v>30</v>
      </c>
      <c r="G25" s="75" t="s">
        <v>59</v>
      </c>
      <c r="H25" s="76"/>
      <c r="I25" s="115">
        <v>4</v>
      </c>
      <c r="J25" s="115"/>
      <c r="K25" s="113">
        <v>71</v>
      </c>
      <c r="L25" s="114"/>
      <c r="M25" s="75">
        <v>1261.8</v>
      </c>
      <c r="N25" s="75"/>
      <c r="O25" s="76"/>
      <c r="P25" s="56">
        <v>2</v>
      </c>
      <c r="Q25" s="64">
        <v>80.5</v>
      </c>
      <c r="R25" s="64">
        <v>7.01</v>
      </c>
      <c r="S25" s="75">
        <v>564.29999999999995</v>
      </c>
      <c r="T25" s="76"/>
      <c r="U25" s="57">
        <v>80.5</v>
      </c>
      <c r="V25" s="58">
        <v>6.86</v>
      </c>
      <c r="W25" s="118">
        <f t="shared" si="0"/>
        <v>552.23</v>
      </c>
      <c r="X25" s="118"/>
      <c r="Y25" s="118"/>
      <c r="Z25" s="112" t="s">
        <v>82</v>
      </c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</row>
    <row r="26" spans="2:38" ht="25.2" customHeight="1" x14ac:dyDescent="0.25">
      <c r="B26" s="178"/>
      <c r="C26" s="178"/>
      <c r="D26" s="36"/>
      <c r="E26" s="42"/>
      <c r="F26" s="42"/>
      <c r="G26" s="107"/>
      <c r="H26" s="107"/>
      <c r="I26" s="107"/>
      <c r="J26" s="107"/>
      <c r="K26" s="110"/>
      <c r="L26" s="111"/>
      <c r="M26" s="119"/>
      <c r="N26" s="120"/>
      <c r="O26" s="121"/>
      <c r="P26" s="40"/>
      <c r="Q26" s="45"/>
      <c r="R26" s="51"/>
      <c r="S26" s="116"/>
      <c r="T26" s="117"/>
      <c r="U26" s="41"/>
      <c r="V26" s="52"/>
      <c r="W26" s="93"/>
      <c r="X26" s="94"/>
      <c r="Y26" s="95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</row>
    <row r="27" spans="2:38" ht="25.2" customHeight="1" x14ac:dyDescent="0.25">
      <c r="B27" s="178"/>
      <c r="C27" s="178"/>
      <c r="D27" s="36"/>
      <c r="E27" s="42"/>
      <c r="F27" s="42"/>
      <c r="G27" s="107"/>
      <c r="H27" s="107"/>
      <c r="I27" s="107"/>
      <c r="J27" s="107"/>
      <c r="K27" s="110"/>
      <c r="L27" s="111"/>
      <c r="M27" s="119"/>
      <c r="N27" s="120"/>
      <c r="O27" s="121"/>
      <c r="P27" s="40"/>
      <c r="Q27" s="45"/>
      <c r="R27" s="51"/>
      <c r="S27" s="116"/>
      <c r="T27" s="117"/>
      <c r="U27" s="41"/>
      <c r="V27" s="52"/>
      <c r="W27" s="93"/>
      <c r="X27" s="94"/>
      <c r="Y27" s="95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</row>
    <row r="28" spans="2:38" ht="25.2" customHeight="1" x14ac:dyDescent="0.25">
      <c r="B28" s="178"/>
      <c r="C28" s="178"/>
      <c r="D28" s="36"/>
      <c r="E28" s="42"/>
      <c r="F28" s="42"/>
      <c r="G28" s="107"/>
      <c r="H28" s="107"/>
      <c r="I28" s="107"/>
      <c r="J28" s="107"/>
      <c r="K28" s="110"/>
      <c r="L28" s="111"/>
      <c r="M28" s="104"/>
      <c r="N28" s="104"/>
      <c r="O28" s="104"/>
      <c r="P28" s="40"/>
      <c r="Q28" s="45"/>
      <c r="R28" s="40"/>
      <c r="S28" s="77"/>
      <c r="T28" s="77"/>
      <c r="U28" s="41"/>
      <c r="V28" s="41"/>
      <c r="W28" s="93"/>
      <c r="X28" s="94"/>
      <c r="Y28" s="95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</row>
    <row r="29" spans="2:38" ht="25.2" customHeight="1" x14ac:dyDescent="0.25">
      <c r="B29" s="178"/>
      <c r="C29" s="178"/>
      <c r="D29" s="36"/>
      <c r="E29" s="42"/>
      <c r="F29" s="42"/>
      <c r="G29" s="107"/>
      <c r="H29" s="107"/>
      <c r="I29" s="107"/>
      <c r="J29" s="107"/>
      <c r="K29" s="110"/>
      <c r="L29" s="111"/>
      <c r="M29" s="104"/>
      <c r="N29" s="104"/>
      <c r="O29" s="104"/>
      <c r="P29" s="40"/>
      <c r="Q29" s="45"/>
      <c r="R29" s="40"/>
      <c r="S29" s="77"/>
      <c r="T29" s="77"/>
      <c r="U29" s="41"/>
      <c r="V29" s="41"/>
      <c r="W29" s="93"/>
      <c r="X29" s="94"/>
      <c r="Y29" s="95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</row>
    <row r="30" spans="2:38" ht="25.2" customHeight="1" x14ac:dyDescent="0.25">
      <c r="B30" s="178"/>
      <c r="C30" s="178"/>
      <c r="D30" s="36"/>
      <c r="E30" s="42"/>
      <c r="F30" s="42"/>
      <c r="G30" s="107"/>
      <c r="H30" s="107"/>
      <c r="I30" s="107"/>
      <c r="J30" s="107"/>
      <c r="K30" s="110"/>
      <c r="L30" s="111"/>
      <c r="M30" s="104"/>
      <c r="N30" s="104"/>
      <c r="O30" s="104"/>
      <c r="P30" s="40"/>
      <c r="Q30" s="45"/>
      <c r="R30" s="40"/>
      <c r="S30" s="77"/>
      <c r="T30" s="77"/>
      <c r="U30" s="41"/>
      <c r="V30" s="41"/>
      <c r="W30" s="93"/>
      <c r="X30" s="94"/>
      <c r="Y30" s="95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</row>
    <row r="31" spans="2:38" ht="25.2" customHeight="1" x14ac:dyDescent="0.25">
      <c r="B31" s="178"/>
      <c r="C31" s="178"/>
      <c r="D31" s="36"/>
      <c r="E31" s="42"/>
      <c r="F31" s="42"/>
      <c r="G31" s="107"/>
      <c r="H31" s="107"/>
      <c r="I31" s="107"/>
      <c r="J31" s="107"/>
      <c r="K31" s="108"/>
      <c r="L31" s="109"/>
      <c r="M31" s="104"/>
      <c r="N31" s="104"/>
      <c r="O31" s="104"/>
      <c r="P31" s="40"/>
      <c r="Q31" s="45"/>
      <c r="R31" s="40"/>
      <c r="S31" s="77"/>
      <c r="T31" s="77"/>
      <c r="U31" s="41"/>
      <c r="V31" s="41"/>
      <c r="W31" s="93"/>
      <c r="X31" s="94"/>
      <c r="Y31" s="95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</row>
    <row r="32" spans="2:38" ht="25.2" customHeight="1" x14ac:dyDescent="0.25">
      <c r="B32" s="178"/>
      <c r="C32" s="178"/>
      <c r="D32" s="36"/>
      <c r="E32" s="42"/>
      <c r="F32" s="42"/>
      <c r="G32" s="107"/>
      <c r="H32" s="107"/>
      <c r="I32" s="107"/>
      <c r="J32" s="107"/>
      <c r="K32" s="104"/>
      <c r="L32" s="104"/>
      <c r="M32" s="104"/>
      <c r="N32" s="104"/>
      <c r="O32" s="104"/>
      <c r="P32" s="40"/>
      <c r="Q32" s="40"/>
      <c r="R32" s="40"/>
      <c r="S32" s="77"/>
      <c r="T32" s="77"/>
      <c r="U32" s="41"/>
      <c r="V32" s="41"/>
      <c r="W32" s="93"/>
      <c r="X32" s="94"/>
      <c r="Y32" s="95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</row>
    <row r="33" spans="2:45" ht="25.2" customHeight="1" x14ac:dyDescent="0.25">
      <c r="B33" s="178"/>
      <c r="C33" s="178"/>
      <c r="D33" s="36"/>
      <c r="E33" s="42"/>
      <c r="F33" s="42"/>
      <c r="G33" s="107"/>
      <c r="H33" s="107"/>
      <c r="I33" s="107"/>
      <c r="J33" s="107"/>
      <c r="K33" s="104"/>
      <c r="L33" s="104"/>
      <c r="M33" s="104"/>
      <c r="N33" s="104"/>
      <c r="O33" s="104"/>
      <c r="P33" s="40"/>
      <c r="Q33" s="40"/>
      <c r="R33" s="40"/>
      <c r="S33" s="77"/>
      <c r="T33" s="77"/>
      <c r="U33" s="41"/>
      <c r="V33" s="41"/>
      <c r="W33" s="93"/>
      <c r="X33" s="94"/>
      <c r="Y33" s="95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</row>
    <row r="34" spans="2:45" ht="25.2" customHeight="1" x14ac:dyDescent="0.25">
      <c r="B34" s="178"/>
      <c r="C34" s="178"/>
      <c r="D34" s="36"/>
      <c r="E34" s="42"/>
      <c r="F34" s="42"/>
      <c r="G34" s="107"/>
      <c r="H34" s="107"/>
      <c r="I34" s="107"/>
      <c r="J34" s="107"/>
      <c r="K34" s="104"/>
      <c r="L34" s="104"/>
      <c r="M34" s="104"/>
      <c r="N34" s="104"/>
      <c r="O34" s="104"/>
      <c r="P34" s="40"/>
      <c r="Q34" s="40"/>
      <c r="R34" s="40"/>
      <c r="S34" s="77"/>
      <c r="T34" s="77"/>
      <c r="U34" s="41"/>
      <c r="V34" s="41"/>
      <c r="W34" s="93"/>
      <c r="X34" s="94"/>
      <c r="Y34" s="95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</row>
    <row r="35" spans="2:45" ht="25.2" customHeight="1" x14ac:dyDescent="0.25">
      <c r="B35" s="178"/>
      <c r="C35" s="178"/>
      <c r="D35" s="36"/>
      <c r="E35" s="42"/>
      <c r="F35" s="42"/>
      <c r="G35" s="107"/>
      <c r="H35" s="107"/>
      <c r="I35" s="107"/>
      <c r="J35" s="107"/>
      <c r="K35" s="104"/>
      <c r="L35" s="104"/>
      <c r="M35" s="104"/>
      <c r="N35" s="104"/>
      <c r="O35" s="104"/>
      <c r="P35" s="40"/>
      <c r="Q35" s="40"/>
      <c r="R35" s="40"/>
      <c r="S35" s="77"/>
      <c r="T35" s="77"/>
      <c r="U35" s="41"/>
      <c r="V35" s="41"/>
      <c r="W35" s="93"/>
      <c r="X35" s="94"/>
      <c r="Y35" s="95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</row>
    <row r="36" spans="2:45" ht="4.5" customHeight="1" x14ac:dyDescent="0.25">
      <c r="B36" s="33"/>
      <c r="C36" s="26"/>
      <c r="D36" s="26"/>
      <c r="E36" s="26"/>
      <c r="F36" s="26"/>
      <c r="G36" s="26"/>
      <c r="H36" s="26"/>
      <c r="I36" s="26"/>
      <c r="J36" s="26"/>
      <c r="K36" s="43"/>
      <c r="L36" s="43"/>
      <c r="M36" s="43"/>
      <c r="N36" s="43"/>
      <c r="O36" s="43"/>
      <c r="P36" s="43"/>
      <c r="Q36" s="43"/>
      <c r="R36" s="43"/>
      <c r="S36" s="44"/>
      <c r="T36" s="44"/>
      <c r="U36" s="26"/>
      <c r="V36" s="26"/>
      <c r="W36" s="26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5"/>
      <c r="AI36" s="15"/>
      <c r="AJ36" s="15"/>
      <c r="AK36" s="4"/>
      <c r="AL36" s="29"/>
    </row>
    <row r="37" spans="2:45" ht="21" customHeight="1" x14ac:dyDescent="0.25">
      <c r="B37" s="33"/>
      <c r="C37" s="26"/>
      <c r="D37" s="26"/>
      <c r="E37" s="26"/>
      <c r="F37" s="26"/>
      <c r="G37" s="26"/>
      <c r="H37" s="26"/>
      <c r="I37" s="26"/>
      <c r="J37" s="26"/>
      <c r="K37" s="106">
        <f>M22+M23+M24+M25</f>
        <v>5047.2</v>
      </c>
      <c r="L37" s="106"/>
      <c r="M37" s="106"/>
      <c r="N37" s="106"/>
      <c r="O37" s="106"/>
      <c r="P37" s="106"/>
      <c r="Q37" s="175">
        <f>S22+S23+S24+S25</f>
        <v>2257.1999999999998</v>
      </c>
      <c r="R37" s="176"/>
      <c r="S37" s="176"/>
      <c r="T37" s="177"/>
      <c r="U37" s="99">
        <f>W22+W23+W24+W25</f>
        <v>2208.92</v>
      </c>
      <c r="V37" s="100"/>
      <c r="W37" s="100"/>
      <c r="X37" s="100"/>
      <c r="Y37" s="101"/>
      <c r="Z37" s="37"/>
      <c r="AA37" s="37"/>
      <c r="AB37" s="38"/>
      <c r="AC37" s="38"/>
      <c r="AD37" s="85"/>
      <c r="AE37" s="86"/>
      <c r="AF37" s="86"/>
      <c r="AG37" s="38"/>
      <c r="AH37" s="15"/>
      <c r="AI37" s="15"/>
      <c r="AJ37" s="15"/>
      <c r="AK37" s="4"/>
      <c r="AL37" s="29"/>
    </row>
    <row r="38" spans="2:45" ht="21" customHeight="1" x14ac:dyDescent="0.25">
      <c r="B38" s="33"/>
      <c r="C38" s="26"/>
      <c r="D38" s="26"/>
      <c r="E38" s="26"/>
      <c r="F38" s="26"/>
      <c r="G38" s="26"/>
      <c r="H38" s="26"/>
      <c r="I38" s="26"/>
      <c r="J38" s="26"/>
      <c r="K38" s="87" t="s">
        <v>66</v>
      </c>
      <c r="L38" s="87"/>
      <c r="M38" s="87"/>
      <c r="N38" s="87"/>
      <c r="O38" s="87"/>
      <c r="P38" s="87"/>
      <c r="Q38" s="99" t="s">
        <v>67</v>
      </c>
      <c r="R38" s="100"/>
      <c r="S38" s="100"/>
      <c r="T38" s="101"/>
      <c r="U38" s="99" t="s">
        <v>68</v>
      </c>
      <c r="V38" s="100"/>
      <c r="W38" s="100"/>
      <c r="X38" s="100"/>
      <c r="Y38" s="101"/>
      <c r="Z38" s="37"/>
      <c r="AA38" s="37"/>
      <c r="AB38" s="38"/>
      <c r="AC38" s="38"/>
      <c r="AD38" s="39"/>
      <c r="AE38" s="35"/>
      <c r="AF38" s="35"/>
      <c r="AG38" s="38"/>
      <c r="AH38" s="15"/>
      <c r="AI38" s="15"/>
      <c r="AJ38" s="15"/>
      <c r="AK38" s="4"/>
      <c r="AL38" s="29"/>
    </row>
    <row r="39" spans="2:45" ht="9" customHeight="1" thickBot="1" x14ac:dyDescent="0.3">
      <c r="B39" s="32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16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29"/>
    </row>
    <row r="40" spans="2:45" ht="25.5" customHeight="1" thickTop="1" x14ac:dyDescent="0.25">
      <c r="B40" s="172" t="s">
        <v>69</v>
      </c>
      <c r="C40" s="173"/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73"/>
      <c r="AB40" s="173"/>
      <c r="AC40" s="173"/>
      <c r="AD40" s="173"/>
      <c r="AE40" s="173"/>
      <c r="AF40" s="173"/>
      <c r="AG40" s="173"/>
      <c r="AH40" s="173"/>
      <c r="AI40" s="173"/>
      <c r="AJ40" s="174"/>
      <c r="AK40" s="4"/>
      <c r="AL40" s="29"/>
    </row>
    <row r="41" spans="2:45" ht="20.100000000000001" customHeight="1" x14ac:dyDescent="0.25">
      <c r="B41" s="32"/>
      <c r="C41" s="4"/>
      <c r="D41" s="4"/>
      <c r="E41" s="4"/>
      <c r="F41" s="4"/>
      <c r="G41" s="4"/>
      <c r="H41" s="4"/>
      <c r="I41" s="4"/>
      <c r="J41" s="105"/>
      <c r="K41" s="105"/>
      <c r="L41" s="105"/>
      <c r="M41" s="105"/>
      <c r="N41" s="27"/>
      <c r="O41" s="17"/>
      <c r="P41" s="17"/>
      <c r="Q41" s="17"/>
      <c r="R41" s="17"/>
      <c r="S41" s="17"/>
      <c r="T41" s="17"/>
      <c r="U41" s="17"/>
      <c r="V41" s="17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18"/>
      <c r="AK41" s="4"/>
      <c r="AL41" s="29"/>
    </row>
    <row r="42" spans="2:45" ht="20.100000000000001" customHeight="1" x14ac:dyDescent="0.35">
      <c r="B42" s="32"/>
      <c r="C42" s="4"/>
      <c r="D42" s="4"/>
      <c r="E42" s="4"/>
      <c r="F42" s="4"/>
      <c r="G42" s="4"/>
      <c r="H42" s="4"/>
      <c r="I42" s="4"/>
      <c r="J42" s="105" t="s">
        <v>70</v>
      </c>
      <c r="K42" s="105"/>
      <c r="L42" s="105"/>
      <c r="M42" s="105"/>
      <c r="N42" s="27"/>
      <c r="O42" s="70" t="s">
        <v>83</v>
      </c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18"/>
      <c r="AK42" s="4"/>
      <c r="AL42" s="29"/>
    </row>
    <row r="43" spans="2:45" ht="20.100000000000001" customHeight="1" x14ac:dyDescent="0.25">
      <c r="B43" s="32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18"/>
      <c r="AK43" s="4"/>
      <c r="AL43" s="29"/>
    </row>
    <row r="44" spans="2:45" ht="20.100000000000001" customHeight="1" x14ac:dyDescent="0.25">
      <c r="B44" s="32"/>
      <c r="C44" s="4"/>
      <c r="D44" s="4"/>
      <c r="E44" s="4"/>
      <c r="F44" s="4"/>
      <c r="G44" s="4"/>
      <c r="H44" s="4"/>
      <c r="I44" s="4"/>
      <c r="J44" s="4"/>
      <c r="K44" s="91" t="s">
        <v>86</v>
      </c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18"/>
      <c r="AK44" s="4"/>
      <c r="AL44" s="29"/>
    </row>
    <row r="45" spans="2:45" ht="20.100000000000001" customHeight="1" x14ac:dyDescent="0.25">
      <c r="B45" s="32"/>
      <c r="C45" s="4"/>
      <c r="D45" s="4"/>
      <c r="E45" s="4"/>
      <c r="F45" s="4"/>
      <c r="G45" s="4"/>
      <c r="H45" s="4"/>
      <c r="I45" s="4"/>
      <c r="J45" s="19"/>
      <c r="K45" s="19"/>
      <c r="L45" s="19"/>
      <c r="M45" s="19"/>
      <c r="N45" s="19"/>
      <c r="O45" s="19"/>
      <c r="P45" s="4"/>
      <c r="Q45" s="4" t="s">
        <v>71</v>
      </c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18"/>
      <c r="AK45" s="4"/>
      <c r="AL45" s="29"/>
    </row>
    <row r="46" spans="2:45" ht="20.100000000000001" customHeight="1" x14ac:dyDescent="0.25">
      <c r="B46" s="32"/>
      <c r="C46" s="4"/>
      <c r="D46" s="4"/>
      <c r="E46" s="4"/>
      <c r="F46" s="4"/>
      <c r="G46" s="4"/>
      <c r="H46" s="4"/>
      <c r="I46" s="4"/>
      <c r="J46" s="13"/>
      <c r="K46" s="13"/>
      <c r="L46" s="4"/>
      <c r="M46" s="4"/>
      <c r="N46" s="4"/>
      <c r="O46" s="102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8"/>
      <c r="AK46" s="4"/>
      <c r="AL46" s="29"/>
    </row>
    <row r="47" spans="2:45" ht="20.100000000000001" customHeight="1" x14ac:dyDescent="0.25">
      <c r="B47" s="32"/>
      <c r="C47" s="4"/>
      <c r="D47" s="4"/>
      <c r="E47" s="4"/>
      <c r="F47" s="4"/>
      <c r="G47" s="4"/>
      <c r="H47" s="4"/>
      <c r="I47" s="4"/>
      <c r="J47" s="4"/>
      <c r="K47" s="4"/>
      <c r="L47" s="19"/>
      <c r="M47" s="19"/>
      <c r="N47" s="19"/>
      <c r="O47" s="19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18"/>
      <c r="AK47" s="4"/>
      <c r="AL47" s="29"/>
      <c r="AS47" s="1" t="s">
        <v>71</v>
      </c>
    </row>
    <row r="48" spans="2:45" ht="20.100000000000001" customHeight="1" x14ac:dyDescent="0.25">
      <c r="B48" s="32"/>
      <c r="C48" s="4"/>
      <c r="D48" s="4"/>
      <c r="E48" s="4"/>
      <c r="F48" s="4"/>
      <c r="G48" s="4"/>
      <c r="H48" s="4"/>
      <c r="I48" s="4"/>
      <c r="J48" s="13"/>
      <c r="K48" s="13"/>
      <c r="L48" s="13"/>
      <c r="M48" s="13"/>
      <c r="N48" s="13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18"/>
      <c r="AK48" s="4"/>
      <c r="AL48" s="29"/>
    </row>
    <row r="49" spans="2:38" ht="20.100000000000001" customHeight="1" x14ac:dyDescent="0.25">
      <c r="B49" s="32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18"/>
      <c r="AK49" s="4"/>
      <c r="AL49" s="29"/>
    </row>
    <row r="50" spans="2:38" ht="20.100000000000001" customHeight="1" thickBot="1" x14ac:dyDescent="0.3">
      <c r="B50" s="34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21"/>
      <c r="AK50" s="4"/>
      <c r="AL50" s="29"/>
    </row>
    <row r="51" spans="2:38" ht="14.25" customHeight="1" thickTop="1" thickBot="1" x14ac:dyDescent="0.3">
      <c r="B51" s="32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29"/>
    </row>
    <row r="52" spans="2:38" ht="23.25" customHeight="1" x14ac:dyDescent="0.25">
      <c r="B52" s="88" t="s">
        <v>72</v>
      </c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90"/>
      <c r="V52" s="24"/>
      <c r="W52" s="89" t="s">
        <v>73</v>
      </c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90"/>
    </row>
    <row r="53" spans="2:38" s="25" customFormat="1" ht="18.75" customHeight="1" thickBot="1" x14ac:dyDescent="0.25">
      <c r="B53" s="96" t="s">
        <v>74</v>
      </c>
      <c r="C53" s="97"/>
      <c r="D53" s="97"/>
      <c r="E53" s="97"/>
      <c r="F53" s="97"/>
      <c r="G53" s="97"/>
      <c r="H53" s="97"/>
      <c r="I53" s="97"/>
      <c r="J53" s="97"/>
      <c r="K53" s="97"/>
      <c r="L53" s="98"/>
      <c r="M53" s="96" t="s">
        <v>75</v>
      </c>
      <c r="N53" s="97"/>
      <c r="O53" s="97"/>
      <c r="P53" s="97"/>
      <c r="Q53" s="97"/>
      <c r="R53" s="97"/>
      <c r="S53" s="97"/>
      <c r="T53" s="97"/>
      <c r="U53" s="98"/>
      <c r="V53" s="96" t="s">
        <v>76</v>
      </c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7"/>
      <c r="AL53" s="98"/>
    </row>
    <row r="54" spans="2:38" ht="33.75" customHeight="1" x14ac:dyDescent="0.25">
      <c r="B54" s="81" t="s">
        <v>77</v>
      </c>
      <c r="C54" s="82"/>
      <c r="D54" s="82"/>
      <c r="E54" s="82"/>
      <c r="F54" s="82"/>
      <c r="G54" s="82"/>
      <c r="H54" s="82"/>
      <c r="I54" s="82"/>
      <c r="J54" s="82"/>
      <c r="K54" s="82"/>
      <c r="L54" s="83"/>
      <c r="M54" s="81" t="s">
        <v>78</v>
      </c>
      <c r="N54" s="82"/>
      <c r="O54" s="82"/>
      <c r="P54" s="82"/>
      <c r="Q54" s="82"/>
      <c r="R54" s="82"/>
      <c r="S54" s="82"/>
      <c r="T54" s="82"/>
      <c r="U54" s="83"/>
      <c r="V54" s="81" t="s">
        <v>79</v>
      </c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3"/>
    </row>
    <row r="55" spans="2:38" ht="33.75" customHeight="1" x14ac:dyDescent="0.25">
      <c r="B55" s="67" t="s">
        <v>80</v>
      </c>
      <c r="C55" s="68"/>
      <c r="D55" s="68"/>
      <c r="E55" s="68"/>
      <c r="F55" s="68"/>
      <c r="G55" s="68"/>
      <c r="H55" s="68"/>
      <c r="I55" s="68"/>
      <c r="J55" s="68"/>
      <c r="K55" s="68"/>
      <c r="L55" s="69"/>
      <c r="M55" s="67" t="s">
        <v>80</v>
      </c>
      <c r="N55" s="68"/>
      <c r="O55" s="68"/>
      <c r="P55" s="68"/>
      <c r="Q55" s="68"/>
      <c r="R55" s="68"/>
      <c r="S55" s="68"/>
      <c r="T55" s="68"/>
      <c r="U55" s="69"/>
      <c r="V55" s="67" t="s">
        <v>81</v>
      </c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9"/>
    </row>
    <row r="56" spans="2:38" ht="33.75" customHeight="1" x14ac:dyDescent="0.25">
      <c r="B56" s="67" t="s">
        <v>81</v>
      </c>
      <c r="C56" s="68"/>
      <c r="D56" s="68"/>
      <c r="E56" s="68"/>
      <c r="F56" s="68"/>
      <c r="G56" s="68"/>
      <c r="H56" s="68"/>
      <c r="I56" s="68"/>
      <c r="J56" s="68"/>
      <c r="K56" s="68"/>
      <c r="L56" s="69"/>
      <c r="M56" s="67" t="s">
        <v>81</v>
      </c>
      <c r="N56" s="68"/>
      <c r="O56" s="68"/>
      <c r="P56" s="68"/>
      <c r="Q56" s="68"/>
      <c r="R56" s="68"/>
      <c r="S56" s="68"/>
      <c r="T56" s="68"/>
      <c r="U56" s="69"/>
      <c r="V56" s="67" t="s">
        <v>80</v>
      </c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9"/>
    </row>
    <row r="57" spans="2:38" ht="20.100000000000001" customHeight="1" x14ac:dyDescent="0.25"/>
    <row r="58" spans="2:38" ht="20.100000000000001" customHeight="1" x14ac:dyDescent="0.25"/>
    <row r="59" spans="2:38" ht="20.100000000000001" customHeight="1" x14ac:dyDescent="0.25"/>
    <row r="60" spans="2:38" ht="20.100000000000001" customHeight="1" x14ac:dyDescent="0.25"/>
    <row r="61" spans="2:38" ht="20.100000000000001" customHeight="1" x14ac:dyDescent="0.25"/>
    <row r="62" spans="2:38" ht="20.100000000000001" customHeight="1" x14ac:dyDescent="0.25"/>
    <row r="63" spans="2:38" ht="20.100000000000001" customHeight="1" x14ac:dyDescent="0.25"/>
    <row r="64" spans="2:38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</sheetData>
  <protectedRanges>
    <protectedRange sqref="J15 K17 S17 V17 Z15 AC15 AG15 T42 O44 O46 O48 AI7 AI54:AL56 W54:W56 M13:N13 H15 AE7 AC54:AE56 Z54:AA56 T54:U56 D34:D35 D28:D30 D22:D24 Q22:Q25" name="Rango1"/>
    <protectedRange sqref="T7" name="Rango1_1_1"/>
    <protectedRange sqref="G5" name="Rango1_2_2"/>
    <protectedRange sqref="G4" name="Rango1_2_1_1"/>
    <protectedRange sqref="D31:D33 D25 P22:P25 D27 B27:C35 E27:K35 B26:K26 P26:AJ35 B22:C25 E22:K25 R22:AJ25" name="Rango1_3"/>
    <protectedRange sqref="D54:G56 J54:J56 N54:O56" name="Rango1_4"/>
    <protectedRange sqref="AH8:AH10 T8:T10 AD8:AD10" name="Rango1_1"/>
    <protectedRange sqref="M22:O35" name="Rango1_3_1"/>
  </protectedRanges>
  <mergeCells count="200">
    <mergeCell ref="M6:T6"/>
    <mergeCell ref="U6:AA6"/>
    <mergeCell ref="AB6:AL6"/>
    <mergeCell ref="V10:AA10"/>
    <mergeCell ref="AB8:AL9"/>
    <mergeCell ref="E6:L6"/>
    <mergeCell ref="E7:L7"/>
    <mergeCell ref="B13:E13"/>
    <mergeCell ref="B18:J19"/>
    <mergeCell ref="B8:D8"/>
    <mergeCell ref="P17:Q17"/>
    <mergeCell ref="U7:AA7"/>
    <mergeCell ref="M7:T7"/>
    <mergeCell ref="L9:N9"/>
    <mergeCell ref="L8:Q8"/>
    <mergeCell ref="V17:AK17"/>
    <mergeCell ref="E10:H10"/>
    <mergeCell ref="R10:S10"/>
    <mergeCell ref="I10:K10"/>
    <mergeCell ref="O10:Q10"/>
    <mergeCell ref="T10:U10"/>
    <mergeCell ref="F13:AL13"/>
    <mergeCell ref="L10:N10"/>
    <mergeCell ref="G21:H21"/>
    <mergeCell ref="AE15:AF15"/>
    <mergeCell ref="G22:H22"/>
    <mergeCell ref="B25:C25"/>
    <mergeCell ref="K22:L22"/>
    <mergeCell ref="K23:L23"/>
    <mergeCell ref="I24:J24"/>
    <mergeCell ref="B22:C22"/>
    <mergeCell ref="B30:C30"/>
    <mergeCell ref="B24:C24"/>
    <mergeCell ref="I23:J23"/>
    <mergeCell ref="B23:C23"/>
    <mergeCell ref="I22:J22"/>
    <mergeCell ref="G23:H23"/>
    <mergeCell ref="K27:L27"/>
    <mergeCell ref="K29:L29"/>
    <mergeCell ref="W27:Y27"/>
    <mergeCell ref="M26:O26"/>
    <mergeCell ref="M20:O21"/>
    <mergeCell ref="M22:O22"/>
    <mergeCell ref="Q20:T20"/>
    <mergeCell ref="S21:T21"/>
    <mergeCell ref="S22:T22"/>
    <mergeCell ref="M23:O23"/>
    <mergeCell ref="B31:C31"/>
    <mergeCell ref="I31:J31"/>
    <mergeCell ref="G31:H31"/>
    <mergeCell ref="B27:C27"/>
    <mergeCell ref="G27:H27"/>
    <mergeCell ref="B28:C28"/>
    <mergeCell ref="B29:C29"/>
    <mergeCell ref="G29:H29"/>
    <mergeCell ref="B26:C26"/>
    <mergeCell ref="I29:J29"/>
    <mergeCell ref="G30:H30"/>
    <mergeCell ref="G28:H28"/>
    <mergeCell ref="I27:J27"/>
    <mergeCell ref="M34:O34"/>
    <mergeCell ref="K35:L35"/>
    <mergeCell ref="S35:T35"/>
    <mergeCell ref="G32:H32"/>
    <mergeCell ref="M32:O32"/>
    <mergeCell ref="K33:L33"/>
    <mergeCell ref="B40:AJ40"/>
    <mergeCell ref="G33:H33"/>
    <mergeCell ref="M35:O35"/>
    <mergeCell ref="K32:L32"/>
    <mergeCell ref="Q37:T37"/>
    <mergeCell ref="B35:C35"/>
    <mergeCell ref="G35:H35"/>
    <mergeCell ref="I35:J35"/>
    <mergeCell ref="G34:H34"/>
    <mergeCell ref="I34:J34"/>
    <mergeCell ref="B32:C32"/>
    <mergeCell ref="I32:J32"/>
    <mergeCell ref="I33:J33"/>
    <mergeCell ref="B33:C33"/>
    <mergeCell ref="B34:C34"/>
    <mergeCell ref="B2:F5"/>
    <mergeCell ref="G4:AL4"/>
    <mergeCell ref="G5:AL5"/>
    <mergeCell ref="AB15:AC15"/>
    <mergeCell ref="L17:M17"/>
    <mergeCell ref="K20:L21"/>
    <mergeCell ref="B6:D6"/>
    <mergeCell ref="B7:D7"/>
    <mergeCell ref="G2:AL3"/>
    <mergeCell ref="B9:D10"/>
    <mergeCell ref="I20:J21"/>
    <mergeCell ref="E20:H20"/>
    <mergeCell ref="D20:D21"/>
    <mergeCell ref="O9:Q9"/>
    <mergeCell ref="AB10:AL10"/>
    <mergeCell ref="G15:H15"/>
    <mergeCell ref="B12:J12"/>
    <mergeCell ref="B15:E15"/>
    <mergeCell ref="B20:C21"/>
    <mergeCell ref="Z20:AL21"/>
    <mergeCell ref="E8:K8"/>
    <mergeCell ref="W21:Y21"/>
    <mergeCell ref="AB7:AL7"/>
    <mergeCell ref="T17:U17"/>
    <mergeCell ref="W22:Y22"/>
    <mergeCell ref="M25:O25"/>
    <mergeCell ref="M24:O24"/>
    <mergeCell ref="M27:O27"/>
    <mergeCell ref="U20:Y20"/>
    <mergeCell ref="S31:T31"/>
    <mergeCell ref="S32:T32"/>
    <mergeCell ref="S33:T33"/>
    <mergeCell ref="M28:O28"/>
    <mergeCell ref="W28:Y28"/>
    <mergeCell ref="M56:U56"/>
    <mergeCell ref="Z22:AL22"/>
    <mergeCell ref="W30:Y30"/>
    <mergeCell ref="W35:Y35"/>
    <mergeCell ref="W33:Y33"/>
    <mergeCell ref="I28:J28"/>
    <mergeCell ref="S26:T26"/>
    <mergeCell ref="S23:T23"/>
    <mergeCell ref="Z32:AL32"/>
    <mergeCell ref="Z33:AL33"/>
    <mergeCell ref="M53:U53"/>
    <mergeCell ref="Q38:T38"/>
    <mergeCell ref="V56:AL56"/>
    <mergeCell ref="W23:Y23"/>
    <mergeCell ref="W24:Y24"/>
    <mergeCell ref="W25:Y25"/>
    <mergeCell ref="W26:Y26"/>
    <mergeCell ref="Z24:AL24"/>
    <mergeCell ref="Z23:AL23"/>
    <mergeCell ref="W31:Y31"/>
    <mergeCell ref="B55:L55"/>
    <mergeCell ref="B53:L53"/>
    <mergeCell ref="V55:AL55"/>
    <mergeCell ref="S27:T27"/>
    <mergeCell ref="Z31:AL31"/>
    <mergeCell ref="Z26:AL26"/>
    <mergeCell ref="Z25:AL25"/>
    <mergeCell ref="S24:T24"/>
    <mergeCell ref="G25:H25"/>
    <mergeCell ref="G26:H26"/>
    <mergeCell ref="I26:J26"/>
    <mergeCell ref="K24:L24"/>
    <mergeCell ref="K25:L25"/>
    <mergeCell ref="I25:J25"/>
    <mergeCell ref="K26:L26"/>
    <mergeCell ref="G24:H24"/>
    <mergeCell ref="K28:L28"/>
    <mergeCell ref="O50:AI50"/>
    <mergeCell ref="W32:Y32"/>
    <mergeCell ref="Z29:AL29"/>
    <mergeCell ref="Z30:AL30"/>
    <mergeCell ref="W34:Y34"/>
    <mergeCell ref="V53:AL53"/>
    <mergeCell ref="U38:Y38"/>
    <mergeCell ref="S30:T30"/>
    <mergeCell ref="W29:Y29"/>
    <mergeCell ref="S29:T29"/>
    <mergeCell ref="O46:AI46"/>
    <mergeCell ref="M31:O31"/>
    <mergeCell ref="M29:O29"/>
    <mergeCell ref="J41:M41"/>
    <mergeCell ref="M30:O30"/>
    <mergeCell ref="M33:O33"/>
    <mergeCell ref="K37:P37"/>
    <mergeCell ref="I30:J30"/>
    <mergeCell ref="K31:L31"/>
    <mergeCell ref="K30:L30"/>
    <mergeCell ref="J42:M42"/>
    <mergeCell ref="U37:Y37"/>
    <mergeCell ref="S34:T34"/>
    <mergeCell ref="K34:L34"/>
    <mergeCell ref="B56:L56"/>
    <mergeCell ref="O42:AI42"/>
    <mergeCell ref="R8:U8"/>
    <mergeCell ref="R9:S9"/>
    <mergeCell ref="T9:U9"/>
    <mergeCell ref="S25:T25"/>
    <mergeCell ref="S28:T28"/>
    <mergeCell ref="V8:AA9"/>
    <mergeCell ref="I9:K9"/>
    <mergeCell ref="E9:H9"/>
    <mergeCell ref="M54:U54"/>
    <mergeCell ref="M55:U55"/>
    <mergeCell ref="Z35:AL35"/>
    <mergeCell ref="Z34:AL34"/>
    <mergeCell ref="O48:AI48"/>
    <mergeCell ref="AD37:AF37"/>
    <mergeCell ref="K38:P38"/>
    <mergeCell ref="V54:AL54"/>
    <mergeCell ref="Z27:AL27"/>
    <mergeCell ref="Z28:AL28"/>
    <mergeCell ref="B54:L54"/>
    <mergeCell ref="B52:U52"/>
    <mergeCell ref="K44:AI44"/>
    <mergeCell ref="W52:AL52"/>
  </mergeCells>
  <phoneticPr fontId="12" type="noConversion"/>
  <printOptions horizontalCentered="1" verticalCentered="1"/>
  <pageMargins left="0.43307086614173229" right="0.23622047244094491" top="0.55118110236220474" bottom="0.35433070866141736" header="0.31496062992125984" footer="0.31496062992125984"/>
  <pageSetup scale="47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5B099-EA69-49A4-8E00-FECD12B36157}">
  <dimension ref="A1"/>
  <sheetViews>
    <sheetView workbookViewId="0"/>
  </sheetViews>
  <sheetFormatPr baseColWidth="10" defaultColWidth="8.88671875" defaultRowHeight="13.2" x14ac:dyDescent="0.25"/>
  <cols>
    <col min="1" max="256" width="11.4414062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357201F06C1244B3303267B78FC164" ma:contentTypeVersion="17" ma:contentTypeDescription="Crear nuevo documento." ma:contentTypeScope="" ma:versionID="27f56f2c4ef5e410b89b31d1d41347bb">
  <xsd:schema xmlns:xsd="http://www.w3.org/2001/XMLSchema" xmlns:xs="http://www.w3.org/2001/XMLSchema" xmlns:p="http://schemas.microsoft.com/office/2006/metadata/properties" xmlns:ns2="c648eead-7544-4bf0-b1d7-0f9cef2199dd" xmlns:ns3="67527caf-b323-41ce-a6e2-7ee299e4fd69" targetNamespace="http://schemas.microsoft.com/office/2006/metadata/properties" ma:root="true" ma:fieldsID="11cb3e9fed4bbeeceb87b84271efc090" ns2:_="" ns3:_="">
    <xsd:import namespace="c648eead-7544-4bf0-b1d7-0f9cef2199dd"/>
    <xsd:import namespace="67527caf-b323-41ce-a6e2-7ee299e4fd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Observaciones" minOccurs="0"/>
                <xsd:element ref="ns2:MediaLengthInSeconds" minOccurs="0"/>
                <xsd:element ref="ns2:Departamento" minOccurs="0"/>
                <xsd:element ref="ns2:MediaServiceLocation" minOccurs="0"/>
                <xsd:element ref="ns2:Titul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8eead-7544-4bf0-b1d7-0f9cef2199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6915bfe1-6f78-429d-8a76-79edc2262e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Observaciones" ma:index="19" nillable="true" ma:displayName="Observaciones" ma:format="Dropdown" ma:internalName="Observaciones">
      <xsd:simpleType>
        <xsd:restriction base="dms:Text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Departamento" ma:index="21" nillable="true" ma:displayName="Departamento" ma:description="Elegir a qué Departamento corresponde el requerimiento." ma:format="Dropdown" ma:internalName="Departamento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bastecimiento"/>
                    <xsd:enumeration value="Mantención"/>
                  </xsd:restriction>
                </xsd:simpleType>
              </xsd:element>
            </xsd:sequence>
          </xsd:extension>
        </xsd:complexContent>
      </xsd:complex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Titulo" ma:index="23" nillable="true" ma:displayName="Titulo" ma:internalName="Titul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527caf-b323-41ce-a6e2-7ee299e4fd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f8cac84-4e3a-4094-ab91-f2df2bd53427}" ma:internalName="TaxCatchAll" ma:showField="CatchAllData" ma:web="67527caf-b323-41ce-a6e2-7ee299e4fd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partamento xmlns="c648eead-7544-4bf0-b1d7-0f9cef2199dd" xsi:nil="true"/>
    <lcf76f155ced4ddcb4097134ff3c332f xmlns="c648eead-7544-4bf0-b1d7-0f9cef2199dd">
      <Terms xmlns="http://schemas.microsoft.com/office/infopath/2007/PartnerControls"/>
    </lcf76f155ced4ddcb4097134ff3c332f>
    <TaxCatchAll xmlns="67527caf-b323-41ce-a6e2-7ee299e4fd69" xsi:nil="true"/>
    <Observaciones xmlns="c648eead-7544-4bf0-b1d7-0f9cef2199dd">4600025141-06330-PRTCS-03256</Observaciones>
    <Titulo xmlns="c648eead-7544-4bf0-b1d7-0f9cef2199dd">Registro de Instalación HDPE Superior - Reservorio</Titulo>
  </documentManagement>
</p:properties>
</file>

<file path=customXml/itemProps1.xml><?xml version="1.0" encoding="utf-8"?>
<ds:datastoreItem xmlns:ds="http://schemas.openxmlformats.org/officeDocument/2006/customXml" ds:itemID="{050F7B57-E6C2-4E45-83D9-10DC50961D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057E61-944C-42CD-B9EA-1910BA1AED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48eead-7544-4bf0-b1d7-0f9cef2199dd"/>
    <ds:schemaRef ds:uri="67527caf-b323-41ce-a6e2-7ee299e4fd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1F9A9F-B251-4AD0-A244-7D40AF00CB63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A2F85FF7-4895-400C-A395-EB8B18F855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1</vt:lpstr>
      <vt:lpstr>Hoja1</vt:lpstr>
      <vt:lpstr>'1'!Área_de_impresión</vt:lpstr>
    </vt:vector>
  </TitlesOfParts>
  <Manager/>
  <Company>Control de Calidad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Membrantec S.A.</dc:creator>
  <cp:keywords/>
  <dc:description/>
  <cp:lastModifiedBy>Sandra Godoy</cp:lastModifiedBy>
  <cp:revision/>
  <cp:lastPrinted>2025-09-26T17:59:41Z</cp:lastPrinted>
  <dcterms:created xsi:type="dcterms:W3CDTF">2003-09-01T15:03:38Z</dcterms:created>
  <dcterms:modified xsi:type="dcterms:W3CDTF">2025-09-26T18:00:48Z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lo">
    <vt:lpwstr>Registro de Instalación HDPE Inferior - Reservorio</vt:lpwstr>
  </property>
  <property fmtid="{D5CDD505-2E9C-101B-9397-08002B2CF9AE}" pid="3" name="lcf76f155ced4ddcb4097134ff3c332f">
    <vt:lpwstr/>
  </property>
  <property fmtid="{D5CDD505-2E9C-101B-9397-08002B2CF9AE}" pid="4" name="TaxCatchAll">
    <vt:lpwstr/>
  </property>
  <property fmtid="{D5CDD505-2E9C-101B-9397-08002B2CF9AE}" pid="5" name="Observaciones">
    <vt:lpwstr/>
  </property>
  <property fmtid="{D5CDD505-2E9C-101B-9397-08002B2CF9AE}" pid="6" name="Departamento">
    <vt:lpwstr/>
  </property>
  <property fmtid="{D5CDD505-2E9C-101B-9397-08002B2CF9AE}" pid="7" name="MediaServiceImageTags">
    <vt:lpwstr/>
  </property>
  <property fmtid="{D5CDD505-2E9C-101B-9397-08002B2CF9AE}" pid="8" name="ContentTypeId">
    <vt:lpwstr>0x01010058357201F06C1244B3303267B78FC164</vt:lpwstr>
  </property>
</Properties>
</file>